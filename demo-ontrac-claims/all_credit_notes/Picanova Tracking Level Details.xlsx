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guyen\Downloads\"/>
    </mc:Choice>
  </mc:AlternateContent>
  <xr:revisionPtr revIDLastSave="0" documentId="13_ncr:1_{CD78A674-BE67-44A7-8A55-EC15A653AA53}" xr6:coauthVersionLast="47" xr6:coauthVersionMax="47" xr10:uidLastSave="{00000000-0000-0000-0000-000000000000}"/>
  <bookViews>
    <workbookView xWindow="-108" yWindow="-108" windowWidth="23256" windowHeight="12456" xr2:uid="{8648666B-7BC2-43F6-9662-B31C400F5439}"/>
  </bookViews>
  <sheets>
    <sheet name="CM251121PICANOVA" sheetId="1" r:id="rId1"/>
    <sheet name="CM251118PICANOVA" sheetId="2" r:id="rId2"/>
  </sheets>
  <externalReferences>
    <externalReference r:id="rId3"/>
    <externalReference r:id="rId4"/>
  </externalReferences>
  <definedNames>
    <definedName name="_xlnm._FilterDatabase" localSheetId="1" hidden="1">CM251118PICANOVA!$A$1:$I$343</definedName>
    <definedName name="_xlnm._FilterDatabase" localSheetId="0" hidden="1">CM251121PICANOVA!$A$1:$I$171</definedName>
    <definedName name="CHAR">[1]RA_INTERFACE_LINES_ALL!#REF!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3" i="2" l="1"/>
  <c r="I343" i="2" s="1"/>
  <c r="H343" i="2" s="1"/>
  <c r="F342" i="2"/>
  <c r="F341" i="2"/>
  <c r="I341" i="2" s="1"/>
  <c r="H341" i="2" s="1"/>
  <c r="F340" i="2"/>
  <c r="F339" i="2"/>
  <c r="I339" i="2" s="1"/>
  <c r="H339" i="2" s="1"/>
  <c r="F338" i="2"/>
  <c r="I338" i="2" s="1"/>
  <c r="H338" i="2" s="1"/>
  <c r="F337" i="2"/>
  <c r="F336" i="2"/>
  <c r="I336" i="2" s="1"/>
  <c r="H336" i="2" s="1"/>
  <c r="F335" i="2"/>
  <c r="I335" i="2" s="1"/>
  <c r="H335" i="2" s="1"/>
  <c r="F334" i="2"/>
  <c r="F333" i="2"/>
  <c r="I333" i="2" s="1"/>
  <c r="H333" i="2" s="1"/>
  <c r="G332" i="2"/>
  <c r="F332" i="2"/>
  <c r="I332" i="2" s="1"/>
  <c r="H332" i="2" s="1"/>
  <c r="F331" i="2"/>
  <c r="F330" i="2"/>
  <c r="I330" i="2" s="1"/>
  <c r="H330" i="2" s="1"/>
  <c r="I329" i="2"/>
  <c r="H329" i="2"/>
  <c r="G329" i="2"/>
  <c r="F329" i="2"/>
  <c r="F328" i="2"/>
  <c r="F327" i="2"/>
  <c r="I327" i="2" s="1"/>
  <c r="H327" i="2" s="1"/>
  <c r="I326" i="2"/>
  <c r="H326" i="2" s="1"/>
  <c r="G326" i="2"/>
  <c r="F326" i="2"/>
  <c r="F325" i="2"/>
  <c r="F324" i="2"/>
  <c r="I324" i="2" s="1"/>
  <c r="H324" i="2" s="1"/>
  <c r="I323" i="2"/>
  <c r="H323" i="2" s="1"/>
  <c r="G323" i="2"/>
  <c r="F323" i="2"/>
  <c r="F322" i="2"/>
  <c r="G321" i="2"/>
  <c r="F321" i="2"/>
  <c r="I321" i="2" s="1"/>
  <c r="H321" i="2" s="1"/>
  <c r="I320" i="2"/>
  <c r="H320" i="2" s="1"/>
  <c r="G320" i="2"/>
  <c r="F320" i="2"/>
  <c r="F319" i="2"/>
  <c r="G318" i="2"/>
  <c r="F318" i="2"/>
  <c r="I318" i="2" s="1"/>
  <c r="H318" i="2" s="1"/>
  <c r="F317" i="2"/>
  <c r="G317" i="2" s="1"/>
  <c r="F316" i="2"/>
  <c r="G315" i="2"/>
  <c r="F315" i="2"/>
  <c r="I315" i="2" s="1"/>
  <c r="H315" i="2" s="1"/>
  <c r="G314" i="2"/>
  <c r="F314" i="2"/>
  <c r="I314" i="2" s="1"/>
  <c r="H314" i="2" s="1"/>
  <c r="F313" i="2"/>
  <c r="G312" i="2"/>
  <c r="F312" i="2"/>
  <c r="I312" i="2" s="1"/>
  <c r="H312" i="2" s="1"/>
  <c r="F311" i="2"/>
  <c r="I311" i="2" s="1"/>
  <c r="H311" i="2" s="1"/>
  <c r="F310" i="2"/>
  <c r="F309" i="2"/>
  <c r="I309" i="2" s="1"/>
  <c r="H309" i="2" s="1"/>
  <c r="I308" i="2"/>
  <c r="H308" i="2" s="1"/>
  <c r="F308" i="2"/>
  <c r="G308" i="2" s="1"/>
  <c r="F307" i="2"/>
  <c r="F306" i="2"/>
  <c r="I306" i="2" s="1"/>
  <c r="H306" i="2" s="1"/>
  <c r="F305" i="2"/>
  <c r="I305" i="2" s="1"/>
  <c r="H305" i="2" s="1"/>
  <c r="F304" i="2"/>
  <c r="F303" i="2"/>
  <c r="I303" i="2" s="1"/>
  <c r="H303" i="2" s="1"/>
  <c r="F302" i="2"/>
  <c r="I302" i="2" s="1"/>
  <c r="H302" i="2" s="1"/>
  <c r="F301" i="2"/>
  <c r="F300" i="2"/>
  <c r="I300" i="2" s="1"/>
  <c r="H300" i="2" s="1"/>
  <c r="F299" i="2"/>
  <c r="I299" i="2" s="1"/>
  <c r="H299" i="2" s="1"/>
  <c r="F298" i="2"/>
  <c r="F297" i="2"/>
  <c r="I297" i="2" s="1"/>
  <c r="H297" i="2" s="1"/>
  <c r="G296" i="2"/>
  <c r="F296" i="2"/>
  <c r="I296" i="2" s="1"/>
  <c r="H296" i="2" s="1"/>
  <c r="F295" i="2"/>
  <c r="F294" i="2"/>
  <c r="I294" i="2" s="1"/>
  <c r="H294" i="2" s="1"/>
  <c r="I293" i="2"/>
  <c r="H293" i="2"/>
  <c r="G293" i="2"/>
  <c r="F293" i="2"/>
  <c r="F292" i="2"/>
  <c r="F291" i="2"/>
  <c r="I291" i="2" s="1"/>
  <c r="H291" i="2" s="1"/>
  <c r="I290" i="2"/>
  <c r="H290" i="2" s="1"/>
  <c r="G290" i="2"/>
  <c r="F290" i="2"/>
  <c r="F289" i="2"/>
  <c r="F288" i="2"/>
  <c r="I288" i="2" s="1"/>
  <c r="H288" i="2" s="1"/>
  <c r="I287" i="2"/>
  <c r="H287" i="2" s="1"/>
  <c r="G287" i="2"/>
  <c r="F287" i="2"/>
  <c r="F286" i="2"/>
  <c r="G285" i="2"/>
  <c r="F285" i="2"/>
  <c r="I285" i="2" s="1"/>
  <c r="H285" i="2" s="1"/>
  <c r="I284" i="2"/>
  <c r="H284" i="2" s="1"/>
  <c r="G284" i="2"/>
  <c r="F284" i="2"/>
  <c r="F283" i="2"/>
  <c r="G282" i="2"/>
  <c r="F282" i="2"/>
  <c r="I282" i="2" s="1"/>
  <c r="H282" i="2" s="1"/>
  <c r="F281" i="2"/>
  <c r="G281" i="2" s="1"/>
  <c r="F280" i="2"/>
  <c r="G279" i="2"/>
  <c r="F279" i="2"/>
  <c r="I279" i="2" s="1"/>
  <c r="H279" i="2" s="1"/>
  <c r="G278" i="2"/>
  <c r="F278" i="2"/>
  <c r="I278" i="2" s="1"/>
  <c r="H278" i="2" s="1"/>
  <c r="F277" i="2"/>
  <c r="G276" i="2"/>
  <c r="F276" i="2"/>
  <c r="I276" i="2" s="1"/>
  <c r="H276" i="2" s="1"/>
  <c r="F275" i="2"/>
  <c r="I275" i="2" s="1"/>
  <c r="H275" i="2" s="1"/>
  <c r="F274" i="2"/>
  <c r="G273" i="2"/>
  <c r="F273" i="2"/>
  <c r="I273" i="2" s="1"/>
  <c r="H273" i="2" s="1"/>
  <c r="I272" i="2"/>
  <c r="H272" i="2" s="1"/>
  <c r="F272" i="2"/>
  <c r="G272" i="2" s="1"/>
  <c r="F271" i="2"/>
  <c r="F270" i="2"/>
  <c r="I270" i="2" s="1"/>
  <c r="H270" i="2" s="1"/>
  <c r="F269" i="2"/>
  <c r="I269" i="2" s="1"/>
  <c r="H269" i="2" s="1"/>
  <c r="F268" i="2"/>
  <c r="F267" i="2"/>
  <c r="I267" i="2" s="1"/>
  <c r="H267" i="2" s="1"/>
  <c r="F266" i="2"/>
  <c r="I266" i="2" s="1"/>
  <c r="H266" i="2" s="1"/>
  <c r="F265" i="2"/>
  <c r="F264" i="2"/>
  <c r="I264" i="2" s="1"/>
  <c r="H264" i="2" s="1"/>
  <c r="F263" i="2"/>
  <c r="I263" i="2" s="1"/>
  <c r="H263" i="2" s="1"/>
  <c r="F262" i="2"/>
  <c r="F261" i="2"/>
  <c r="I261" i="2" s="1"/>
  <c r="H261" i="2" s="1"/>
  <c r="G260" i="2"/>
  <c r="F260" i="2"/>
  <c r="I260" i="2" s="1"/>
  <c r="H260" i="2" s="1"/>
  <c r="F259" i="2"/>
  <c r="F258" i="2"/>
  <c r="I258" i="2" s="1"/>
  <c r="H258" i="2" s="1"/>
  <c r="I257" i="2"/>
  <c r="H257" i="2"/>
  <c r="G257" i="2"/>
  <c r="F257" i="2"/>
  <c r="F256" i="2"/>
  <c r="F255" i="2"/>
  <c r="I255" i="2" s="1"/>
  <c r="H255" i="2" s="1"/>
  <c r="I254" i="2"/>
  <c r="H254" i="2" s="1"/>
  <c r="G254" i="2"/>
  <c r="F254" i="2"/>
  <c r="F253" i="2"/>
  <c r="F252" i="2"/>
  <c r="I252" i="2" s="1"/>
  <c r="H252" i="2" s="1"/>
  <c r="I251" i="2"/>
  <c r="H251" i="2" s="1"/>
  <c r="G251" i="2"/>
  <c r="F251" i="2"/>
  <c r="F250" i="2"/>
  <c r="G249" i="2"/>
  <c r="F249" i="2"/>
  <c r="I249" i="2" s="1"/>
  <c r="H249" i="2" s="1"/>
  <c r="I248" i="2"/>
  <c r="H248" i="2" s="1"/>
  <c r="G248" i="2"/>
  <c r="F248" i="2"/>
  <c r="F247" i="2"/>
  <c r="G246" i="2"/>
  <c r="F246" i="2"/>
  <c r="I246" i="2" s="1"/>
  <c r="H246" i="2" s="1"/>
  <c r="G245" i="2"/>
  <c r="F245" i="2"/>
  <c r="I245" i="2" s="1"/>
  <c r="H245" i="2" s="1"/>
  <c r="F244" i="2"/>
  <c r="G243" i="2"/>
  <c r="F243" i="2"/>
  <c r="I243" i="2" s="1"/>
  <c r="H243" i="2" s="1"/>
  <c r="F242" i="2"/>
  <c r="I242" i="2" s="1"/>
  <c r="H242" i="2" s="1"/>
  <c r="F241" i="2"/>
  <c r="G240" i="2"/>
  <c r="F240" i="2"/>
  <c r="I240" i="2" s="1"/>
  <c r="H240" i="2" s="1"/>
  <c r="F239" i="2"/>
  <c r="I239" i="2" s="1"/>
  <c r="H239" i="2" s="1"/>
  <c r="F238" i="2"/>
  <c r="F237" i="2"/>
  <c r="I237" i="2" s="1"/>
  <c r="H237" i="2" s="1"/>
  <c r="I236" i="2"/>
  <c r="H236" i="2"/>
  <c r="G236" i="2"/>
  <c r="F236" i="2"/>
  <c r="F235" i="2"/>
  <c r="G234" i="2"/>
  <c r="F234" i="2"/>
  <c r="I234" i="2" s="1"/>
  <c r="H234" i="2" s="1"/>
  <c r="F233" i="2"/>
  <c r="I233" i="2" s="1"/>
  <c r="H233" i="2" s="1"/>
  <c r="F232" i="2"/>
  <c r="F231" i="2"/>
  <c r="I231" i="2" s="1"/>
  <c r="H231" i="2" s="1"/>
  <c r="F230" i="2"/>
  <c r="I230" i="2" s="1"/>
  <c r="H230" i="2" s="1"/>
  <c r="F229" i="2"/>
  <c r="F228" i="2"/>
  <c r="I228" i="2" s="1"/>
  <c r="H228" i="2" s="1"/>
  <c r="G227" i="2"/>
  <c r="F227" i="2"/>
  <c r="I227" i="2" s="1"/>
  <c r="H227" i="2" s="1"/>
  <c r="F226" i="2"/>
  <c r="F225" i="2"/>
  <c r="I225" i="2" s="1"/>
  <c r="H225" i="2" s="1"/>
  <c r="G224" i="2"/>
  <c r="F224" i="2"/>
  <c r="I224" i="2" s="1"/>
  <c r="H224" i="2" s="1"/>
  <c r="F223" i="2"/>
  <c r="F222" i="2"/>
  <c r="I222" i="2" s="1"/>
  <c r="H222" i="2" s="1"/>
  <c r="I221" i="2"/>
  <c r="H221" i="2" s="1"/>
  <c r="G221" i="2"/>
  <c r="F221" i="2"/>
  <c r="F220" i="2"/>
  <c r="F219" i="2"/>
  <c r="I219" i="2" s="1"/>
  <c r="H219" i="2" s="1"/>
  <c r="I218" i="2"/>
  <c r="H218" i="2" s="1"/>
  <c r="G218" i="2"/>
  <c r="F218" i="2"/>
  <c r="F217" i="2"/>
  <c r="F216" i="2"/>
  <c r="I216" i="2" s="1"/>
  <c r="H216" i="2" s="1"/>
  <c r="I215" i="2"/>
  <c r="H215" i="2" s="1"/>
  <c r="G215" i="2"/>
  <c r="F215" i="2"/>
  <c r="F214" i="2"/>
  <c r="F213" i="2"/>
  <c r="I213" i="2" s="1"/>
  <c r="H213" i="2" s="1"/>
  <c r="F212" i="2"/>
  <c r="I212" i="2" s="1"/>
  <c r="H212" i="2" s="1"/>
  <c r="F211" i="2"/>
  <c r="F210" i="2"/>
  <c r="I210" i="2" s="1"/>
  <c r="H210" i="2" s="1"/>
  <c r="I209" i="2"/>
  <c r="H209" i="2" s="1"/>
  <c r="G209" i="2"/>
  <c r="F209" i="2"/>
  <c r="F208" i="2"/>
  <c r="G207" i="2"/>
  <c r="F207" i="2"/>
  <c r="I207" i="2" s="1"/>
  <c r="H207" i="2" s="1"/>
  <c r="G206" i="2"/>
  <c r="F206" i="2"/>
  <c r="I206" i="2" s="1"/>
  <c r="H206" i="2" s="1"/>
  <c r="F205" i="2"/>
  <c r="G204" i="2"/>
  <c r="F204" i="2"/>
  <c r="I204" i="2" s="1"/>
  <c r="H204" i="2" s="1"/>
  <c r="F203" i="2"/>
  <c r="I203" i="2" s="1"/>
  <c r="H203" i="2" s="1"/>
  <c r="F202" i="2"/>
  <c r="F201" i="2"/>
  <c r="I201" i="2" s="1"/>
  <c r="H201" i="2" s="1"/>
  <c r="I200" i="2"/>
  <c r="H200" i="2" s="1"/>
  <c r="G200" i="2"/>
  <c r="F200" i="2"/>
  <c r="F199" i="2"/>
  <c r="G198" i="2"/>
  <c r="F198" i="2"/>
  <c r="I198" i="2" s="1"/>
  <c r="H198" i="2" s="1"/>
  <c r="F197" i="2"/>
  <c r="I197" i="2" s="1"/>
  <c r="H197" i="2" s="1"/>
  <c r="F196" i="2"/>
  <c r="F195" i="2"/>
  <c r="I195" i="2" s="1"/>
  <c r="H195" i="2" s="1"/>
  <c r="F194" i="2"/>
  <c r="I194" i="2" s="1"/>
  <c r="H194" i="2" s="1"/>
  <c r="F193" i="2"/>
  <c r="F192" i="2"/>
  <c r="I192" i="2" s="1"/>
  <c r="H192" i="2" s="1"/>
  <c r="G191" i="2"/>
  <c r="F191" i="2"/>
  <c r="I191" i="2" s="1"/>
  <c r="H191" i="2" s="1"/>
  <c r="F190" i="2"/>
  <c r="F189" i="2"/>
  <c r="I189" i="2" s="1"/>
  <c r="H189" i="2" s="1"/>
  <c r="I188" i="2"/>
  <c r="H188" i="2"/>
  <c r="G188" i="2"/>
  <c r="F188" i="2"/>
  <c r="F187" i="2"/>
  <c r="F186" i="2"/>
  <c r="I186" i="2" s="1"/>
  <c r="H186" i="2" s="1"/>
  <c r="I185" i="2"/>
  <c r="H185" i="2" s="1"/>
  <c r="G185" i="2"/>
  <c r="F185" i="2"/>
  <c r="F184" i="2"/>
  <c r="F183" i="2"/>
  <c r="I183" i="2" s="1"/>
  <c r="H183" i="2" s="1"/>
  <c r="I182" i="2"/>
  <c r="H182" i="2" s="1"/>
  <c r="G182" i="2"/>
  <c r="F182" i="2"/>
  <c r="F181" i="2"/>
  <c r="G180" i="2"/>
  <c r="F180" i="2"/>
  <c r="I180" i="2" s="1"/>
  <c r="H180" i="2" s="1"/>
  <c r="I179" i="2"/>
  <c r="H179" i="2" s="1"/>
  <c r="G179" i="2"/>
  <c r="F179" i="2"/>
  <c r="F178" i="2"/>
  <c r="F177" i="2"/>
  <c r="I177" i="2" s="1"/>
  <c r="H177" i="2" s="1"/>
  <c r="F176" i="2"/>
  <c r="I176" i="2" s="1"/>
  <c r="H176" i="2" s="1"/>
  <c r="F175" i="2"/>
  <c r="F174" i="2"/>
  <c r="I174" i="2" s="1"/>
  <c r="H174" i="2" s="1"/>
  <c r="I173" i="2"/>
  <c r="H173" i="2" s="1"/>
  <c r="G173" i="2"/>
  <c r="F173" i="2"/>
  <c r="F172" i="2"/>
  <c r="G171" i="2"/>
  <c r="F171" i="2"/>
  <c r="I171" i="2" s="1"/>
  <c r="H171" i="2" s="1"/>
  <c r="H170" i="2"/>
  <c r="G170" i="2"/>
  <c r="F170" i="2"/>
  <c r="I170" i="2" s="1"/>
  <c r="F169" i="2"/>
  <c r="F168" i="2"/>
  <c r="I168" i="2" s="1"/>
  <c r="H168" i="2" s="1"/>
  <c r="I167" i="2"/>
  <c r="H167" i="2" s="1"/>
  <c r="F167" i="2"/>
  <c r="G167" i="2" s="1"/>
  <c r="F166" i="2"/>
  <c r="F165" i="2"/>
  <c r="I164" i="2"/>
  <c r="H164" i="2" s="1"/>
  <c r="G164" i="2"/>
  <c r="F164" i="2"/>
  <c r="F163" i="2"/>
  <c r="G162" i="2"/>
  <c r="F162" i="2"/>
  <c r="I162" i="2" s="1"/>
  <c r="H162" i="2" s="1"/>
  <c r="F161" i="2"/>
  <c r="I161" i="2" s="1"/>
  <c r="H161" i="2" s="1"/>
  <c r="F160" i="2"/>
  <c r="F159" i="2"/>
  <c r="I159" i="2" s="1"/>
  <c r="H159" i="2" s="1"/>
  <c r="I158" i="2"/>
  <c r="H158" i="2" s="1"/>
  <c r="F158" i="2"/>
  <c r="G158" i="2" s="1"/>
  <c r="F157" i="2"/>
  <c r="F156" i="2"/>
  <c r="G156" i="2" s="1"/>
  <c r="F155" i="2"/>
  <c r="I155" i="2" s="1"/>
  <c r="H155" i="2" s="1"/>
  <c r="F154" i="2"/>
  <c r="I154" i="2" s="1"/>
  <c r="H154" i="2" s="1"/>
  <c r="I153" i="2"/>
  <c r="H153" i="2" s="1"/>
  <c r="G153" i="2"/>
  <c r="F153" i="2"/>
  <c r="F152" i="2"/>
  <c r="G152" i="2" s="1"/>
  <c r="F151" i="2"/>
  <c r="I151" i="2" s="1"/>
  <c r="H151" i="2" s="1"/>
  <c r="F150" i="2"/>
  <c r="I150" i="2" s="1"/>
  <c r="H150" i="2" s="1"/>
  <c r="I149" i="2"/>
  <c r="H149" i="2"/>
  <c r="F149" i="2"/>
  <c r="G149" i="2" s="1"/>
  <c r="F148" i="2"/>
  <c r="I148" i="2" s="1"/>
  <c r="H148" i="2" s="1"/>
  <c r="F147" i="2"/>
  <c r="I147" i="2" s="1"/>
  <c r="H147" i="2" s="1"/>
  <c r="G146" i="2"/>
  <c r="F146" i="2"/>
  <c r="I146" i="2" s="1"/>
  <c r="H146" i="2" s="1"/>
  <c r="G145" i="2"/>
  <c r="F145" i="2"/>
  <c r="I145" i="2" s="1"/>
  <c r="H145" i="2" s="1"/>
  <c r="F144" i="2"/>
  <c r="I144" i="2" s="1"/>
  <c r="H144" i="2" s="1"/>
  <c r="F143" i="2"/>
  <c r="I143" i="2" s="1"/>
  <c r="H143" i="2" s="1"/>
  <c r="F142" i="2"/>
  <c r="I142" i="2" s="1"/>
  <c r="H142" i="2" s="1"/>
  <c r="I141" i="2"/>
  <c r="H141" i="2" s="1"/>
  <c r="G141" i="2"/>
  <c r="F141" i="2"/>
  <c r="F140" i="2"/>
  <c r="I140" i="2" s="1"/>
  <c r="H140" i="2" s="1"/>
  <c r="F139" i="2"/>
  <c r="I139" i="2" s="1"/>
  <c r="H139" i="2" s="1"/>
  <c r="F138" i="2"/>
  <c r="I138" i="2" s="1"/>
  <c r="H138" i="2" s="1"/>
  <c r="I137" i="2"/>
  <c r="H137" i="2"/>
  <c r="F137" i="2"/>
  <c r="G137" i="2" s="1"/>
  <c r="F136" i="2"/>
  <c r="I136" i="2" s="1"/>
  <c r="H136" i="2" s="1"/>
  <c r="F135" i="2"/>
  <c r="I135" i="2" s="1"/>
  <c r="H135" i="2" s="1"/>
  <c r="F134" i="2"/>
  <c r="I134" i="2" s="1"/>
  <c r="H134" i="2" s="1"/>
  <c r="G133" i="2"/>
  <c r="F133" i="2"/>
  <c r="I133" i="2" s="1"/>
  <c r="H133" i="2" s="1"/>
  <c r="F132" i="2"/>
  <c r="I132" i="2" s="1"/>
  <c r="H132" i="2" s="1"/>
  <c r="I131" i="2"/>
  <c r="H131" i="2"/>
  <c r="F131" i="2"/>
  <c r="G131" i="2" s="1"/>
  <c r="G130" i="2"/>
  <c r="F130" i="2"/>
  <c r="I130" i="2" s="1"/>
  <c r="H130" i="2" s="1"/>
  <c r="I129" i="2"/>
  <c r="H129" i="2" s="1"/>
  <c r="F129" i="2"/>
  <c r="G129" i="2" s="1"/>
  <c r="F128" i="2"/>
  <c r="I128" i="2" s="1"/>
  <c r="H128" i="2" s="1"/>
  <c r="F127" i="2"/>
  <c r="I127" i="2" s="1"/>
  <c r="H127" i="2" s="1"/>
  <c r="I126" i="2"/>
  <c r="H126" i="2" s="1"/>
  <c r="F126" i="2"/>
  <c r="G126" i="2" s="1"/>
  <c r="F125" i="2"/>
  <c r="F124" i="2"/>
  <c r="I124" i="2" s="1"/>
  <c r="H124" i="2" s="1"/>
  <c r="I123" i="2"/>
  <c r="H123" i="2"/>
  <c r="G123" i="2"/>
  <c r="F123" i="2"/>
  <c r="F122" i="2"/>
  <c r="I122" i="2" s="1"/>
  <c r="H122" i="2" s="1"/>
  <c r="I121" i="2"/>
  <c r="H121" i="2" s="1"/>
  <c r="F121" i="2"/>
  <c r="G121" i="2" s="1"/>
  <c r="I120" i="2"/>
  <c r="H120" i="2" s="1"/>
  <c r="F120" i="2"/>
  <c r="G120" i="2" s="1"/>
  <c r="F119" i="2"/>
  <c r="I119" i="2" s="1"/>
  <c r="H119" i="2" s="1"/>
  <c r="F118" i="2"/>
  <c r="I118" i="2" s="1"/>
  <c r="H118" i="2" s="1"/>
  <c r="I117" i="2"/>
  <c r="H117" i="2"/>
  <c r="G117" i="2"/>
  <c r="F117" i="2"/>
  <c r="I116" i="2"/>
  <c r="H116" i="2" s="1"/>
  <c r="F116" i="2"/>
  <c r="G116" i="2" s="1"/>
  <c r="F115" i="2"/>
  <c r="F114" i="2"/>
  <c r="G114" i="2" s="1"/>
  <c r="I113" i="2"/>
  <c r="H113" i="2"/>
  <c r="F113" i="2"/>
  <c r="G113" i="2" s="1"/>
  <c r="F112" i="2"/>
  <c r="I112" i="2" s="1"/>
  <c r="H112" i="2" s="1"/>
  <c r="G111" i="2"/>
  <c r="F111" i="2"/>
  <c r="I111" i="2" s="1"/>
  <c r="H111" i="2" s="1"/>
  <c r="I110" i="2"/>
  <c r="H110" i="2"/>
  <c r="G110" i="2"/>
  <c r="F110" i="2"/>
  <c r="F109" i="2"/>
  <c r="I109" i="2" s="1"/>
  <c r="H109" i="2" s="1"/>
  <c r="F108" i="2"/>
  <c r="I108" i="2" s="1"/>
  <c r="H108" i="2" s="1"/>
  <c r="G107" i="2"/>
  <c r="F107" i="2"/>
  <c r="I107" i="2" s="1"/>
  <c r="H107" i="2" s="1"/>
  <c r="F106" i="2"/>
  <c r="I106" i="2" s="1"/>
  <c r="H106" i="2" s="1"/>
  <c r="F105" i="2"/>
  <c r="I105" i="2" s="1"/>
  <c r="H105" i="2" s="1"/>
  <c r="F104" i="2"/>
  <c r="I104" i="2" s="1"/>
  <c r="H104" i="2" s="1"/>
  <c r="I103" i="2"/>
  <c r="H103" i="2" s="1"/>
  <c r="F103" i="2"/>
  <c r="G103" i="2" s="1"/>
  <c r="F102" i="2"/>
  <c r="I101" i="2"/>
  <c r="H101" i="2" s="1"/>
  <c r="F101" i="2"/>
  <c r="G101" i="2" s="1"/>
  <c r="I100" i="2"/>
  <c r="H100" i="2" s="1"/>
  <c r="G100" i="2"/>
  <c r="F100" i="2"/>
  <c r="F99" i="2"/>
  <c r="I99" i="2" s="1"/>
  <c r="H99" i="2" s="1"/>
  <c r="I98" i="2"/>
  <c r="H98" i="2"/>
  <c r="F98" i="2"/>
  <c r="G98" i="2" s="1"/>
  <c r="I97" i="2"/>
  <c r="H97" i="2" s="1"/>
  <c r="G97" i="2"/>
  <c r="F97" i="2"/>
  <c r="F96" i="2"/>
  <c r="I96" i="2" s="1"/>
  <c r="H96" i="2" s="1"/>
  <c r="F95" i="2"/>
  <c r="I95" i="2" s="1"/>
  <c r="H95" i="2" s="1"/>
  <c r="F94" i="2"/>
  <c r="I94" i="2" s="1"/>
  <c r="H94" i="2" s="1"/>
  <c r="I93" i="2"/>
  <c r="H93" i="2" s="1"/>
  <c r="F93" i="2"/>
  <c r="G93" i="2" s="1"/>
  <c r="G92" i="2"/>
  <c r="F92" i="2"/>
  <c r="I92" i="2" s="1"/>
  <c r="H92" i="2" s="1"/>
  <c r="F91" i="2"/>
  <c r="I91" i="2" s="1"/>
  <c r="H91" i="2" s="1"/>
  <c r="I90" i="2"/>
  <c r="H90" i="2"/>
  <c r="F90" i="2"/>
  <c r="G90" i="2" s="1"/>
  <c r="F89" i="2"/>
  <c r="I88" i="2"/>
  <c r="H88" i="2" s="1"/>
  <c r="F88" i="2"/>
  <c r="G88" i="2" s="1"/>
  <c r="I87" i="2"/>
  <c r="H87" i="2" s="1"/>
  <c r="F87" i="2"/>
  <c r="G87" i="2" s="1"/>
  <c r="F86" i="2"/>
  <c r="F85" i="2"/>
  <c r="G85" i="2" s="1"/>
  <c r="I84" i="2"/>
  <c r="H84" i="2" s="1"/>
  <c r="F84" i="2"/>
  <c r="G84" i="2" s="1"/>
  <c r="F83" i="2"/>
  <c r="F82" i="2"/>
  <c r="I82" i="2" s="1"/>
  <c r="H82" i="2" s="1"/>
  <c r="I81" i="2"/>
  <c r="H81" i="2"/>
  <c r="F81" i="2"/>
  <c r="G81" i="2" s="1"/>
  <c r="F80" i="2"/>
  <c r="I79" i="2"/>
  <c r="H79" i="2" s="1"/>
  <c r="F79" i="2"/>
  <c r="G79" i="2" s="1"/>
  <c r="I78" i="2"/>
  <c r="H78" i="2" s="1"/>
  <c r="F78" i="2"/>
  <c r="G78" i="2" s="1"/>
  <c r="F77" i="2"/>
  <c r="F76" i="2"/>
  <c r="I76" i="2" s="1"/>
  <c r="H76" i="2" s="1"/>
  <c r="I75" i="2"/>
  <c r="H75" i="2" s="1"/>
  <c r="F75" i="2"/>
  <c r="G75" i="2" s="1"/>
  <c r="F74" i="2"/>
  <c r="F73" i="2"/>
  <c r="I73" i="2" s="1"/>
  <c r="H73" i="2" s="1"/>
  <c r="I72" i="2"/>
  <c r="H72" i="2"/>
  <c r="F72" i="2"/>
  <c r="G72" i="2" s="1"/>
  <c r="F71" i="2"/>
  <c r="I71" i="2" s="1"/>
  <c r="H71" i="2" s="1"/>
  <c r="G70" i="2"/>
  <c r="F70" i="2"/>
  <c r="I70" i="2" s="1"/>
  <c r="H70" i="2" s="1"/>
  <c r="I69" i="2"/>
  <c r="H69" i="2"/>
  <c r="F69" i="2"/>
  <c r="G69" i="2" s="1"/>
  <c r="F68" i="2"/>
  <c r="I68" i="2" s="1"/>
  <c r="H68" i="2" s="1"/>
  <c r="I67" i="2"/>
  <c r="H67" i="2"/>
  <c r="G67" i="2"/>
  <c r="F67" i="2"/>
  <c r="I66" i="2"/>
  <c r="H66" i="2"/>
  <c r="F66" i="2"/>
  <c r="G66" i="2" s="1"/>
  <c r="F65" i="2"/>
  <c r="I65" i="2" s="1"/>
  <c r="H65" i="2" s="1"/>
  <c r="F64" i="2"/>
  <c r="I64" i="2" s="1"/>
  <c r="H64" i="2" s="1"/>
  <c r="I63" i="2"/>
  <c r="H63" i="2"/>
  <c r="F63" i="2"/>
  <c r="G63" i="2" s="1"/>
  <c r="F62" i="2"/>
  <c r="I62" i="2" s="1"/>
  <c r="H62" i="2" s="1"/>
  <c r="F61" i="2"/>
  <c r="I61" i="2" s="1"/>
  <c r="H61" i="2" s="1"/>
  <c r="I60" i="2"/>
  <c r="H60" i="2"/>
  <c r="F60" i="2"/>
  <c r="G60" i="2" s="1"/>
  <c r="F59" i="2"/>
  <c r="I59" i="2" s="1"/>
  <c r="H59" i="2" s="1"/>
  <c r="G58" i="2"/>
  <c r="F58" i="2"/>
  <c r="I58" i="2" s="1"/>
  <c r="H58" i="2" s="1"/>
  <c r="I57" i="2"/>
  <c r="H57" i="2"/>
  <c r="F57" i="2"/>
  <c r="G57" i="2" s="1"/>
  <c r="F56" i="2"/>
  <c r="I56" i="2" s="1"/>
  <c r="H56" i="2" s="1"/>
  <c r="I55" i="2"/>
  <c r="H55" i="2"/>
  <c r="G55" i="2"/>
  <c r="F55" i="2"/>
  <c r="I54" i="2"/>
  <c r="H54" i="2"/>
  <c r="F54" i="2"/>
  <c r="G54" i="2" s="1"/>
  <c r="F53" i="2"/>
  <c r="I53" i="2" s="1"/>
  <c r="H53" i="2" s="1"/>
  <c r="F52" i="2"/>
  <c r="G52" i="2" s="1"/>
  <c r="I51" i="2"/>
  <c r="H51" i="2"/>
  <c r="F51" i="2"/>
  <c r="G51" i="2" s="1"/>
  <c r="F50" i="2"/>
  <c r="I50" i="2" s="1"/>
  <c r="H50" i="2" s="1"/>
  <c r="F49" i="2"/>
  <c r="I49" i="2" s="1"/>
  <c r="H49" i="2" s="1"/>
  <c r="I48" i="2"/>
  <c r="H48" i="2"/>
  <c r="F48" i="2"/>
  <c r="G48" i="2" s="1"/>
  <c r="F47" i="2"/>
  <c r="I47" i="2" s="1"/>
  <c r="H47" i="2" s="1"/>
  <c r="G46" i="2"/>
  <c r="F46" i="2"/>
  <c r="I46" i="2" s="1"/>
  <c r="H46" i="2" s="1"/>
  <c r="I45" i="2"/>
  <c r="H45" i="2"/>
  <c r="F45" i="2"/>
  <c r="G45" i="2" s="1"/>
  <c r="F44" i="2"/>
  <c r="I44" i="2" s="1"/>
  <c r="H44" i="2" s="1"/>
  <c r="I43" i="2"/>
  <c r="H43" i="2"/>
  <c r="G43" i="2"/>
  <c r="F43" i="2"/>
  <c r="I42" i="2"/>
  <c r="H42" i="2"/>
  <c r="F42" i="2"/>
  <c r="G42" i="2" s="1"/>
  <c r="F41" i="2"/>
  <c r="I41" i="2" s="1"/>
  <c r="H41" i="2" s="1"/>
  <c r="F40" i="2"/>
  <c r="G40" i="2" s="1"/>
  <c r="I39" i="2"/>
  <c r="H39" i="2"/>
  <c r="F39" i="2"/>
  <c r="G39" i="2" s="1"/>
  <c r="F38" i="2"/>
  <c r="I38" i="2" s="1"/>
  <c r="H38" i="2" s="1"/>
  <c r="F37" i="2"/>
  <c r="I37" i="2" s="1"/>
  <c r="H37" i="2" s="1"/>
  <c r="I36" i="2"/>
  <c r="H36" i="2"/>
  <c r="F36" i="2"/>
  <c r="G36" i="2" s="1"/>
  <c r="F35" i="2"/>
  <c r="I35" i="2" s="1"/>
  <c r="H35" i="2" s="1"/>
  <c r="G34" i="2"/>
  <c r="F34" i="2"/>
  <c r="I34" i="2" s="1"/>
  <c r="H34" i="2" s="1"/>
  <c r="I33" i="2"/>
  <c r="H33" i="2"/>
  <c r="F33" i="2"/>
  <c r="G33" i="2" s="1"/>
  <c r="F32" i="2"/>
  <c r="I32" i="2" s="1"/>
  <c r="H32" i="2" s="1"/>
  <c r="I31" i="2"/>
  <c r="H31" i="2"/>
  <c r="G31" i="2"/>
  <c r="F31" i="2"/>
  <c r="I30" i="2"/>
  <c r="H30" i="2"/>
  <c r="F30" i="2"/>
  <c r="G30" i="2" s="1"/>
  <c r="F29" i="2"/>
  <c r="I29" i="2" s="1"/>
  <c r="H29" i="2" s="1"/>
  <c r="F28" i="2"/>
  <c r="G28" i="2" s="1"/>
  <c r="I27" i="2"/>
  <c r="H27" i="2"/>
  <c r="F27" i="2"/>
  <c r="G27" i="2" s="1"/>
  <c r="F26" i="2"/>
  <c r="I26" i="2" s="1"/>
  <c r="H26" i="2" s="1"/>
  <c r="F25" i="2"/>
  <c r="I25" i="2" s="1"/>
  <c r="H25" i="2" s="1"/>
  <c r="I24" i="2"/>
  <c r="H24" i="2"/>
  <c r="F24" i="2"/>
  <c r="G24" i="2" s="1"/>
  <c r="F23" i="2"/>
  <c r="I23" i="2" s="1"/>
  <c r="H23" i="2" s="1"/>
  <c r="G22" i="2"/>
  <c r="F22" i="2"/>
  <c r="I22" i="2" s="1"/>
  <c r="H22" i="2" s="1"/>
  <c r="I21" i="2"/>
  <c r="H21" i="2"/>
  <c r="F21" i="2"/>
  <c r="G21" i="2" s="1"/>
  <c r="F20" i="2"/>
  <c r="I20" i="2" s="1"/>
  <c r="H20" i="2" s="1"/>
  <c r="I19" i="2"/>
  <c r="H19" i="2"/>
  <c r="G19" i="2"/>
  <c r="F19" i="2"/>
  <c r="I18" i="2"/>
  <c r="H18" i="2"/>
  <c r="F18" i="2"/>
  <c r="G18" i="2" s="1"/>
  <c r="F17" i="2"/>
  <c r="I17" i="2" s="1"/>
  <c r="H17" i="2" s="1"/>
  <c r="F16" i="2"/>
  <c r="G16" i="2" s="1"/>
  <c r="I15" i="2"/>
  <c r="H15" i="2"/>
  <c r="F15" i="2"/>
  <c r="G15" i="2" s="1"/>
  <c r="F14" i="2"/>
  <c r="I14" i="2" s="1"/>
  <c r="H14" i="2" s="1"/>
  <c r="F13" i="2"/>
  <c r="I13" i="2" s="1"/>
  <c r="H13" i="2" s="1"/>
  <c r="I12" i="2"/>
  <c r="H12" i="2"/>
  <c r="F12" i="2"/>
  <c r="G12" i="2" s="1"/>
  <c r="F11" i="2"/>
  <c r="I11" i="2" s="1"/>
  <c r="H11" i="2" s="1"/>
  <c r="G10" i="2"/>
  <c r="F10" i="2"/>
  <c r="I10" i="2" s="1"/>
  <c r="H10" i="2" s="1"/>
  <c r="I9" i="2"/>
  <c r="H9" i="2"/>
  <c r="F9" i="2"/>
  <c r="G9" i="2" s="1"/>
  <c r="F8" i="2"/>
  <c r="I8" i="2" s="1"/>
  <c r="H8" i="2" s="1"/>
  <c r="I7" i="2"/>
  <c r="H7" i="2"/>
  <c r="G7" i="2"/>
  <c r="F7" i="2"/>
  <c r="I6" i="2"/>
  <c r="H6" i="2"/>
  <c r="F6" i="2"/>
  <c r="G6" i="2" s="1"/>
  <c r="F5" i="2"/>
  <c r="I5" i="2" s="1"/>
  <c r="H5" i="2" s="1"/>
  <c r="F4" i="2"/>
  <c r="G4" i="2" s="1"/>
  <c r="I3" i="2"/>
  <c r="H3" i="2"/>
  <c r="F3" i="2"/>
  <c r="G3" i="2" s="1"/>
  <c r="F2" i="2"/>
  <c r="I2" i="2" s="1"/>
  <c r="H2" i="2" s="1"/>
  <c r="G159" i="2" l="1"/>
  <c r="I160" i="2"/>
  <c r="H160" i="2" s="1"/>
  <c r="G160" i="2"/>
  <c r="I169" i="2"/>
  <c r="H169" i="2" s="1"/>
  <c r="G169" i="2"/>
  <c r="I4" i="2"/>
  <c r="H4" i="2" s="1"/>
  <c r="I16" i="2"/>
  <c r="H16" i="2" s="1"/>
  <c r="I28" i="2"/>
  <c r="H28" i="2" s="1"/>
  <c r="I40" i="2"/>
  <c r="H40" i="2" s="1"/>
  <c r="I52" i="2"/>
  <c r="H52" i="2" s="1"/>
  <c r="I77" i="2"/>
  <c r="H77" i="2" s="1"/>
  <c r="G77" i="2"/>
  <c r="I86" i="2"/>
  <c r="H86" i="2" s="1"/>
  <c r="G86" i="2"/>
  <c r="G128" i="2"/>
  <c r="G13" i="2"/>
  <c r="G25" i="2"/>
  <c r="G49" i="2"/>
  <c r="G91" i="2"/>
  <c r="G105" i="2"/>
  <c r="G134" i="2"/>
  <c r="G155" i="2"/>
  <c r="G5" i="2"/>
  <c r="G17" i="2"/>
  <c r="G29" i="2"/>
  <c r="G41" i="2"/>
  <c r="G53" i="2"/>
  <c r="G65" i="2"/>
  <c r="I114" i="2"/>
  <c r="H114" i="2" s="1"/>
  <c r="G124" i="2"/>
  <c r="G139" i="2"/>
  <c r="G150" i="2"/>
  <c r="G11" i="2"/>
  <c r="G23" i="2"/>
  <c r="G35" i="2"/>
  <c r="G147" i="2"/>
  <c r="G76" i="2"/>
  <c r="G64" i="2"/>
  <c r="G8" i="2"/>
  <c r="G44" i="2"/>
  <c r="G138" i="2"/>
  <c r="G154" i="2"/>
  <c r="G37" i="2"/>
  <c r="G61" i="2"/>
  <c r="G73" i="2"/>
  <c r="G82" i="2"/>
  <c r="I115" i="2"/>
  <c r="H115" i="2" s="1"/>
  <c r="G115" i="2"/>
  <c r="G59" i="2"/>
  <c r="G71" i="2"/>
  <c r="I80" i="2"/>
  <c r="H80" i="2" s="1"/>
  <c r="G80" i="2"/>
  <c r="I89" i="2"/>
  <c r="H89" i="2" s="1"/>
  <c r="G89" i="2"/>
  <c r="G94" i="2"/>
  <c r="G108" i="2"/>
  <c r="G142" i="2"/>
  <c r="G104" i="2"/>
  <c r="G127" i="2"/>
  <c r="G20" i="2"/>
  <c r="G32" i="2"/>
  <c r="G56" i="2"/>
  <c r="G68" i="2"/>
  <c r="I85" i="2"/>
  <c r="H85" i="2" s="1"/>
  <c r="G95" i="2"/>
  <c r="I74" i="2"/>
  <c r="H74" i="2" s="1"/>
  <c r="G74" i="2"/>
  <c r="I83" i="2"/>
  <c r="H83" i="2" s="1"/>
  <c r="G83" i="2"/>
  <c r="G50" i="2"/>
  <c r="I102" i="2"/>
  <c r="H102" i="2" s="1"/>
  <c r="G102" i="2"/>
  <c r="G135" i="2"/>
  <c r="G151" i="2"/>
  <c r="G47" i="2"/>
  <c r="I165" i="2"/>
  <c r="H165" i="2" s="1"/>
  <c r="G165" i="2"/>
  <c r="G143" i="2"/>
  <c r="G118" i="2"/>
  <c r="I125" i="2"/>
  <c r="H125" i="2" s="1"/>
  <c r="G125" i="2"/>
  <c r="G2" i="2"/>
  <c r="G14" i="2"/>
  <c r="G26" i="2"/>
  <c r="G38" i="2"/>
  <c r="G62" i="2"/>
  <c r="I163" i="2"/>
  <c r="H163" i="2" s="1"/>
  <c r="G163" i="2"/>
  <c r="G183" i="2"/>
  <c r="G194" i="2"/>
  <c r="I199" i="2"/>
  <c r="H199" i="2" s="1"/>
  <c r="G199" i="2"/>
  <c r="G219" i="2"/>
  <c r="G230" i="2"/>
  <c r="I235" i="2"/>
  <c r="H235" i="2" s="1"/>
  <c r="G235" i="2"/>
  <c r="G255" i="2"/>
  <c r="G266" i="2"/>
  <c r="I271" i="2"/>
  <c r="H271" i="2" s="1"/>
  <c r="G271" i="2"/>
  <c r="G291" i="2"/>
  <c r="G302" i="2"/>
  <c r="I307" i="2"/>
  <c r="H307" i="2" s="1"/>
  <c r="G307" i="2"/>
  <c r="G327" i="2"/>
  <c r="G338" i="2"/>
  <c r="G168" i="2"/>
  <c r="I184" i="2"/>
  <c r="H184" i="2" s="1"/>
  <c r="G184" i="2"/>
  <c r="I220" i="2"/>
  <c r="H220" i="2" s="1"/>
  <c r="G220" i="2"/>
  <c r="I256" i="2"/>
  <c r="H256" i="2" s="1"/>
  <c r="G256" i="2"/>
  <c r="I281" i="2"/>
  <c r="H281" i="2" s="1"/>
  <c r="I292" i="2"/>
  <c r="H292" i="2" s="1"/>
  <c r="G292" i="2"/>
  <c r="I317" i="2"/>
  <c r="H317" i="2" s="1"/>
  <c r="I328" i="2"/>
  <c r="H328" i="2" s="1"/>
  <c r="G328" i="2"/>
  <c r="G189" i="2"/>
  <c r="I205" i="2"/>
  <c r="H205" i="2" s="1"/>
  <c r="G205" i="2"/>
  <c r="G225" i="2"/>
  <c r="I241" i="2"/>
  <c r="H241" i="2" s="1"/>
  <c r="G241" i="2"/>
  <c r="G261" i="2"/>
  <c r="I277" i="2"/>
  <c r="H277" i="2" s="1"/>
  <c r="G277" i="2"/>
  <c r="G297" i="2"/>
  <c r="I313" i="2"/>
  <c r="H313" i="2" s="1"/>
  <c r="G313" i="2"/>
  <c r="G333" i="2"/>
  <c r="G174" i="2"/>
  <c r="I190" i="2"/>
  <c r="H190" i="2" s="1"/>
  <c r="G190" i="2"/>
  <c r="G210" i="2"/>
  <c r="I226" i="2"/>
  <c r="H226" i="2" s="1"/>
  <c r="G226" i="2"/>
  <c r="I262" i="2"/>
  <c r="H262" i="2" s="1"/>
  <c r="G262" i="2"/>
  <c r="I298" i="2"/>
  <c r="H298" i="2" s="1"/>
  <c r="G298" i="2"/>
  <c r="I334" i="2"/>
  <c r="H334" i="2" s="1"/>
  <c r="G334" i="2"/>
  <c r="I175" i="2"/>
  <c r="H175" i="2" s="1"/>
  <c r="G175" i="2"/>
  <c r="G195" i="2"/>
  <c r="I211" i="2"/>
  <c r="H211" i="2" s="1"/>
  <c r="G211" i="2"/>
  <c r="G231" i="2"/>
  <c r="G242" i="2"/>
  <c r="I247" i="2"/>
  <c r="H247" i="2" s="1"/>
  <c r="G247" i="2"/>
  <c r="G267" i="2"/>
  <c r="I283" i="2"/>
  <c r="H283" i="2" s="1"/>
  <c r="G283" i="2"/>
  <c r="G303" i="2"/>
  <c r="I319" i="2"/>
  <c r="H319" i="2" s="1"/>
  <c r="G319" i="2"/>
  <c r="G339" i="2"/>
  <c r="I196" i="2"/>
  <c r="H196" i="2" s="1"/>
  <c r="G196" i="2"/>
  <c r="G216" i="2"/>
  <c r="I232" i="2"/>
  <c r="H232" i="2" s="1"/>
  <c r="G232" i="2"/>
  <c r="G252" i="2"/>
  <c r="G263" i="2"/>
  <c r="I268" i="2"/>
  <c r="H268" i="2" s="1"/>
  <c r="G268" i="2"/>
  <c r="G288" i="2"/>
  <c r="G299" i="2"/>
  <c r="I304" i="2"/>
  <c r="H304" i="2" s="1"/>
  <c r="G304" i="2"/>
  <c r="G324" i="2"/>
  <c r="G335" i="2"/>
  <c r="I340" i="2"/>
  <c r="H340" i="2" s="1"/>
  <c r="G340" i="2"/>
  <c r="G176" i="2"/>
  <c r="I181" i="2"/>
  <c r="H181" i="2" s="1"/>
  <c r="G181" i="2"/>
  <c r="G201" i="2"/>
  <c r="G212" i="2"/>
  <c r="I217" i="2"/>
  <c r="H217" i="2" s="1"/>
  <c r="G217" i="2"/>
  <c r="G237" i="2"/>
  <c r="I253" i="2"/>
  <c r="H253" i="2" s="1"/>
  <c r="G253" i="2"/>
  <c r="I289" i="2"/>
  <c r="H289" i="2" s="1"/>
  <c r="G289" i="2"/>
  <c r="G309" i="2"/>
  <c r="I325" i="2"/>
  <c r="H325" i="2" s="1"/>
  <c r="G325" i="2"/>
  <c r="G161" i="2"/>
  <c r="I166" i="2"/>
  <c r="H166" i="2" s="1"/>
  <c r="G166" i="2"/>
  <c r="G186" i="2"/>
  <c r="G197" i="2"/>
  <c r="I202" i="2"/>
  <c r="H202" i="2" s="1"/>
  <c r="G202" i="2"/>
  <c r="G222" i="2"/>
  <c r="G233" i="2"/>
  <c r="I238" i="2"/>
  <c r="H238" i="2" s="1"/>
  <c r="G238" i="2"/>
  <c r="G258" i="2"/>
  <c r="G269" i="2"/>
  <c r="I274" i="2"/>
  <c r="H274" i="2" s="1"/>
  <c r="G274" i="2"/>
  <c r="G294" i="2"/>
  <c r="G305" i="2"/>
  <c r="I310" i="2"/>
  <c r="H310" i="2" s="1"/>
  <c r="G310" i="2"/>
  <c r="G330" i="2"/>
  <c r="G341" i="2"/>
  <c r="I187" i="2"/>
  <c r="H187" i="2" s="1"/>
  <c r="G187" i="2"/>
  <c r="I223" i="2"/>
  <c r="H223" i="2" s="1"/>
  <c r="G223" i="2"/>
  <c r="I259" i="2"/>
  <c r="H259" i="2" s="1"/>
  <c r="G259" i="2"/>
  <c r="I295" i="2"/>
  <c r="H295" i="2" s="1"/>
  <c r="G295" i="2"/>
  <c r="I331" i="2"/>
  <c r="H331" i="2" s="1"/>
  <c r="G331" i="2"/>
  <c r="I152" i="2"/>
  <c r="H152" i="2" s="1"/>
  <c r="I156" i="2"/>
  <c r="H156" i="2" s="1"/>
  <c r="I172" i="2"/>
  <c r="H172" i="2" s="1"/>
  <c r="G172" i="2"/>
  <c r="G192" i="2"/>
  <c r="G203" i="2"/>
  <c r="I208" i="2"/>
  <c r="H208" i="2" s="1"/>
  <c r="G208" i="2"/>
  <c r="G228" i="2"/>
  <c r="G239" i="2"/>
  <c r="I244" i="2"/>
  <c r="H244" i="2" s="1"/>
  <c r="G244" i="2"/>
  <c r="G264" i="2"/>
  <c r="G275" i="2"/>
  <c r="I280" i="2"/>
  <c r="H280" i="2" s="1"/>
  <c r="G280" i="2"/>
  <c r="G300" i="2"/>
  <c r="G311" i="2"/>
  <c r="I316" i="2"/>
  <c r="H316" i="2" s="1"/>
  <c r="G316" i="2"/>
  <c r="G336" i="2"/>
  <c r="G99" i="2"/>
  <c r="G112" i="2"/>
  <c r="G122" i="2"/>
  <c r="G132" i="2"/>
  <c r="G140" i="2"/>
  <c r="G96" i="2"/>
  <c r="G109" i="2"/>
  <c r="G119" i="2"/>
  <c r="G136" i="2"/>
  <c r="G144" i="2"/>
  <c r="G148" i="2"/>
  <c r="G106" i="2"/>
  <c r="I157" i="2"/>
  <c r="H157" i="2" s="1"/>
  <c r="G157" i="2"/>
  <c r="G177" i="2"/>
  <c r="I193" i="2"/>
  <c r="H193" i="2" s="1"/>
  <c r="G193" i="2"/>
  <c r="G213" i="2"/>
  <c r="I229" i="2"/>
  <c r="H229" i="2" s="1"/>
  <c r="G229" i="2"/>
  <c r="I265" i="2"/>
  <c r="H265" i="2" s="1"/>
  <c r="G265" i="2"/>
  <c r="I301" i="2"/>
  <c r="H301" i="2" s="1"/>
  <c r="G301" i="2"/>
  <c r="I337" i="2"/>
  <c r="H337" i="2" s="1"/>
  <c r="G337" i="2"/>
  <c r="I342" i="2"/>
  <c r="H342" i="2" s="1"/>
  <c r="G342" i="2"/>
  <c r="I178" i="2"/>
  <c r="H178" i="2" s="1"/>
  <c r="G178" i="2"/>
  <c r="I214" i="2"/>
  <c r="H214" i="2" s="1"/>
  <c r="G214" i="2"/>
  <c r="I250" i="2"/>
  <c r="H250" i="2" s="1"/>
  <c r="G250" i="2"/>
  <c r="G270" i="2"/>
  <c r="I286" i="2"/>
  <c r="H286" i="2" s="1"/>
  <c r="G286" i="2"/>
  <c r="G306" i="2"/>
  <c r="I322" i="2"/>
  <c r="H322" i="2" s="1"/>
  <c r="G322" i="2"/>
  <c r="G343" i="2"/>
</calcChain>
</file>

<file path=xl/sharedStrings.xml><?xml version="1.0" encoding="utf-8"?>
<sst xmlns="http://schemas.openxmlformats.org/spreadsheetml/2006/main" count="1552" uniqueCount="533">
  <si>
    <t>Dispute Date</t>
  </si>
  <si>
    <t>Dispute Type</t>
  </si>
  <si>
    <t>Requested Amount</t>
  </si>
  <si>
    <t>Tracking Number</t>
  </si>
  <si>
    <t>Close Date</t>
  </si>
  <si>
    <t>Dispute Status</t>
  </si>
  <si>
    <t>Approval/Denial Comment</t>
  </si>
  <si>
    <t>Credit/Debit</t>
  </si>
  <si>
    <t>Paid Amount</t>
  </si>
  <si>
    <t>Over Maximum Limits Surcharge</t>
  </si>
  <si>
    <t>1LSD0I7000GO67M</t>
  </si>
  <si>
    <t>1LSD0I7000GI3PQ</t>
  </si>
  <si>
    <t>1LSD0I7000GO8LL</t>
  </si>
  <si>
    <t>1LSD0I7000FB70D</t>
  </si>
  <si>
    <t>1LSD0I7000FHIKI</t>
  </si>
  <si>
    <t>1LSD0I7000FAUVR</t>
  </si>
  <si>
    <t>1LSD0I7000FBOI9</t>
  </si>
  <si>
    <t>1LSD0I7000GGJTT</t>
  </si>
  <si>
    <t>1LSD0I7000GU2GH</t>
  </si>
  <si>
    <t>1LSD0I7000GTXUS</t>
  </si>
  <si>
    <t>1LSD0I7000GORRE</t>
  </si>
  <si>
    <t>1LSD0I7000GNB0X</t>
  </si>
  <si>
    <t>1LSD0I7000GU8VI</t>
  </si>
  <si>
    <t>1LSD0I7000GQHHD</t>
  </si>
  <si>
    <t>1LSD0I7000FBR4F</t>
  </si>
  <si>
    <t>1LSD0I7000GDNZW</t>
  </si>
  <si>
    <t>1LSD0I7000GFS2A</t>
  </si>
  <si>
    <t>1LSD0I7000GG4W6</t>
  </si>
  <si>
    <t>1LSD0I7000GDTQE</t>
  </si>
  <si>
    <t>1LSD0I7000FQCGL</t>
  </si>
  <si>
    <t>1LSD0I7000GN849</t>
  </si>
  <si>
    <t>1LSD0I7000GIO8V</t>
  </si>
  <si>
    <t>1LSD0I7000FQ4NV</t>
  </si>
  <si>
    <t>1LSD0I7000FR6F3</t>
  </si>
  <si>
    <t>1LSD0I7000FGPVQ</t>
  </si>
  <si>
    <t>1LSD0I7000FJUFX</t>
  </si>
  <si>
    <t>1LSD0I7000FJX5V</t>
  </si>
  <si>
    <t>1LSD0I7000FBXRZ</t>
  </si>
  <si>
    <t>1LSD0I7000FBX0J</t>
  </si>
  <si>
    <t>1LSD0I7000FTWBX</t>
  </si>
  <si>
    <t>1LSD0I7000FQTBM</t>
  </si>
  <si>
    <t>1LSD0I7000GBPZW</t>
  </si>
  <si>
    <t>1LSD0I7000GE17C</t>
  </si>
  <si>
    <t>1LSD0I7000GDQQP</t>
  </si>
  <si>
    <t>1LSD0I7000GE4VA</t>
  </si>
  <si>
    <t>1LSD0I7000FYGPO</t>
  </si>
  <si>
    <t>1LSD0I7000GB5RW</t>
  </si>
  <si>
    <t>1LSD0I7000FYOXZ</t>
  </si>
  <si>
    <t>1LSD0I7000FYYKB</t>
  </si>
  <si>
    <t>1LSD0I7000GAYXJ</t>
  </si>
  <si>
    <t>1LSD0I7000GDQJ8</t>
  </si>
  <si>
    <t>1LSD0I7000G81OY</t>
  </si>
  <si>
    <t>1LSD0I7000G8FGN</t>
  </si>
  <si>
    <t>1LSD0I7000GE3QL</t>
  </si>
  <si>
    <t>1LSD0I7000GE75H</t>
  </si>
  <si>
    <t>Large Package Surcharge</t>
  </si>
  <si>
    <t>1LSD0I7000FBBYE</t>
  </si>
  <si>
    <t>1LSD0I7000FU37M</t>
  </si>
  <si>
    <t>1LSD0I7000GNFPZ</t>
  </si>
  <si>
    <t>1LSD0I7000GNEYO</t>
  </si>
  <si>
    <t>1LSD0I7000GU18O</t>
  </si>
  <si>
    <t>1LSD0I7000GNGDI</t>
  </si>
  <si>
    <t>1LSD0I7000FYHTU</t>
  </si>
  <si>
    <t>1LSD0I7000GE1XB</t>
  </si>
  <si>
    <t>Additional Handling Surcharge</t>
  </si>
  <si>
    <t>1LSD0I7000FBE37</t>
  </si>
  <si>
    <t>1LSD0I7000FB4F9</t>
  </si>
  <si>
    <t>1LSD0I7000FVWZE</t>
  </si>
  <si>
    <t>1LSD0I7000FE3CW</t>
  </si>
  <si>
    <t>1LSD0I7000FW79S</t>
  </si>
  <si>
    <t>1LSD0I7000FE95C</t>
  </si>
  <si>
    <t>1LSD0I7000FC28C</t>
  </si>
  <si>
    <t>1LSD0I7000EUAKX</t>
  </si>
  <si>
    <t>1LSD0I7000FBCD1</t>
  </si>
  <si>
    <t>1LSD0I7000FATFH</t>
  </si>
  <si>
    <t>1LSD0I7000FJ615</t>
  </si>
  <si>
    <t>1LSD0I7000FELNL</t>
  </si>
  <si>
    <t>1LSD0I7000FBXGM</t>
  </si>
  <si>
    <t>1LSD0I7000FWEWV</t>
  </si>
  <si>
    <t>1LSD0I7000FAWKH</t>
  </si>
  <si>
    <t>1LSD0I7000FC16T</t>
  </si>
  <si>
    <t>1LSD0I7000FEWQ3</t>
  </si>
  <si>
    <t>1LSD0I7000FAX24</t>
  </si>
  <si>
    <t>1LSD0I7000FBPJX</t>
  </si>
  <si>
    <t>1LSD0I7000FH7DE</t>
  </si>
  <si>
    <t>1LSD0I7000FWPWY</t>
  </si>
  <si>
    <t>1LSD0I7000FHCGP</t>
  </si>
  <si>
    <t>1LSD0I7000FWLTW</t>
  </si>
  <si>
    <t>1LSD0I7000GRJK5</t>
  </si>
  <si>
    <t>1LSD0I7000GQVR1</t>
  </si>
  <si>
    <t>1LSD0I7000F12NJ</t>
  </si>
  <si>
    <t>1LSD0I7000GBWR9</t>
  </si>
  <si>
    <t>1LSD0I7000GBZD7</t>
  </si>
  <si>
    <t>1LSD0I7000GWHZ4</t>
  </si>
  <si>
    <t>1LSD0I7000GBDWG</t>
  </si>
  <si>
    <t>1LSD0I7000GWFWZ</t>
  </si>
  <si>
    <t>1LSD0I7000GE6VL</t>
  </si>
  <si>
    <t>1LSD0I7000GDTIZ</t>
  </si>
  <si>
    <t>1LSD0I7000GBE0Y</t>
  </si>
  <si>
    <t>1LSD0I7000G8VAM</t>
  </si>
  <si>
    <t>1LSD0I7000FC1UO</t>
  </si>
  <si>
    <t>1LSD0I7000FC2A5</t>
  </si>
  <si>
    <t>1LSD0I7000EUWJW</t>
  </si>
  <si>
    <t>1LSD0I7000EX80N</t>
  </si>
  <si>
    <t>1LSD0I7000F7ZO7</t>
  </si>
  <si>
    <t>1LSD0I7000EUW6N</t>
  </si>
  <si>
    <t>1LSD0I7000EXAD3</t>
  </si>
  <si>
    <t>1LSD0I7000EWWJ0</t>
  </si>
  <si>
    <t>1LSD0I7000EXBA5</t>
  </si>
  <si>
    <t>1LSD0I7000EXN3S</t>
  </si>
  <si>
    <t>1LSD0I7000EZRPT</t>
  </si>
  <si>
    <t>1LSD0I7000FBC9J</t>
  </si>
  <si>
    <t>1LSD0I7000FB1VD</t>
  </si>
  <si>
    <t>1LSD0I7000FB6TU</t>
  </si>
  <si>
    <t>1LSD0I7000F10LY</t>
  </si>
  <si>
    <t>1LSD0I7000F0CNH</t>
  </si>
  <si>
    <t>1LSD0I7000F7N1Y</t>
  </si>
  <si>
    <t>1LSD0I7000F0LXW</t>
  </si>
  <si>
    <t>1LSD0I7000F8Q6G</t>
  </si>
  <si>
    <t>1LSD0I7000ERU9I</t>
  </si>
  <si>
    <t>1LSD0I7000F0CCC</t>
  </si>
  <si>
    <t>1LSD0I7000FBHWH</t>
  </si>
  <si>
    <t>1LSD0I7000FBW40</t>
  </si>
  <si>
    <t>1LSD0I7000FBW9M</t>
  </si>
  <si>
    <t>1LSD0I7000EU3ZX</t>
  </si>
  <si>
    <t>1LSD0I7000FBMKD</t>
  </si>
  <si>
    <t>1LSD0I7000FC1YJ</t>
  </si>
  <si>
    <t>1LSD0I7000EX2AS</t>
  </si>
  <si>
    <t>1LSD0I7000FBP1S</t>
  </si>
  <si>
    <t>1LSD0I7000FBQ6O</t>
  </si>
  <si>
    <t>1LSD0I7000FBRU9</t>
  </si>
  <si>
    <t>1LSD0I7000FCHCK</t>
  </si>
  <si>
    <t>1LSD0I7000FHEVC</t>
  </si>
  <si>
    <t>1LSD0I7000FH3LI</t>
  </si>
  <si>
    <t>1LSD0I7000FRAC1</t>
  </si>
  <si>
    <t>1LSD0I7000F9GB9</t>
  </si>
  <si>
    <t>1LSD0I7000FT661</t>
  </si>
  <si>
    <t>1LSD0I7000FC1GR</t>
  </si>
  <si>
    <t>1LSD0I7000FK4UW</t>
  </si>
  <si>
    <t>1LSD0I7000FCH3D</t>
  </si>
  <si>
    <t>1LSD0I7000FPZ0O</t>
  </si>
  <si>
    <t>1LSD0I7000FTKQD</t>
  </si>
  <si>
    <t>1LSD0I7000FWCFZ</t>
  </si>
  <si>
    <t>1LSD0I7000FWCRI</t>
  </si>
  <si>
    <t>1LSD0I7000FWCQN</t>
  </si>
  <si>
    <t>1LSD0I7000FWCRN</t>
  </si>
  <si>
    <t>1LSD0I7000FTOH2</t>
  </si>
  <si>
    <t>1LSD0I7000FWHNT</t>
  </si>
  <si>
    <t>1LSD0I7000FYD7Y</t>
  </si>
  <si>
    <t>1LSD0I7000FGS8C</t>
  </si>
  <si>
    <t>1LSD0I7000FGSDS</t>
  </si>
  <si>
    <t>1LSD0I7000FH1FW</t>
  </si>
  <si>
    <t>1LSD0I7000FR52X</t>
  </si>
  <si>
    <t>1LSD0I7000FR5IY</t>
  </si>
  <si>
    <t>1LSD0I7000FU6XM</t>
  </si>
  <si>
    <t>1LSD0I7000FUB7N</t>
  </si>
  <si>
    <t>1LSD0I7000GEAOB</t>
  </si>
  <si>
    <t>1LSD0I7000G1Q0C</t>
  </si>
  <si>
    <t>1LSD0I7000G1MLX</t>
  </si>
  <si>
    <t>1LSD0I7000GDWZC</t>
  </si>
  <si>
    <t>1LSD0I7000G8V9K</t>
  </si>
  <si>
    <t>1LSD0I7000GEEWG</t>
  </si>
  <si>
    <t>1LSD0I7000G1IVF</t>
  </si>
  <si>
    <t>1LSD0I7000GUI4U</t>
  </si>
  <si>
    <t>1LSD0I7000GI1P0</t>
  </si>
  <si>
    <t>1LSD0I7000GGMAA</t>
  </si>
  <si>
    <t>1LSD0I7000GHR0Q</t>
  </si>
  <si>
    <t>1LSD0I7000GEHJG</t>
  </si>
  <si>
    <t>1LSD0I7000GOP93</t>
  </si>
  <si>
    <t>1LSD0I7000GO4VL</t>
  </si>
  <si>
    <t>1LSD0I7000GTPA2</t>
  </si>
  <si>
    <t>1LSD0I7000GTPKG</t>
  </si>
  <si>
    <t>1LSD0I7000GTPRD</t>
  </si>
  <si>
    <t>1LSD0I7000GOEQJ</t>
  </si>
  <si>
    <t>1LSD0I7000GOO9E</t>
  </si>
  <si>
    <t>1LSD0I7000GOOR4</t>
  </si>
  <si>
    <t>1LSD0I7000GQIHO</t>
  </si>
  <si>
    <t>1LSD0I7000GTP55</t>
  </si>
  <si>
    <t>1LSD0I7000GU3RP</t>
  </si>
  <si>
    <t>1LSD0I7000GUDMC</t>
  </si>
  <si>
    <t>1LSD0I7000GIG8Y</t>
  </si>
  <si>
    <t>1LSD0I7000GWE9W</t>
  </si>
  <si>
    <t>Approved</t>
  </si>
  <si>
    <t/>
  </si>
  <si>
    <t>Credit</t>
  </si>
  <si>
    <t>Denied</t>
  </si>
  <si>
    <t>Denied, dimensions line up with vpod</t>
  </si>
  <si>
    <t>Denied, customer dimensions meet length definition for additional handling</t>
  </si>
  <si>
    <t>Denied, AH dimensions line up with vpod</t>
  </si>
  <si>
    <t>Denied, customer dimensions meet width definition for additional handling</t>
  </si>
  <si>
    <t>Denied, billed on customer dimensions</t>
  </si>
  <si>
    <t>1LSD0I7000EAHIQ</t>
  </si>
  <si>
    <t>1LSD0I7000E7T2V</t>
  </si>
  <si>
    <t>1LSD0I7000EU9QA</t>
  </si>
  <si>
    <t>1LSD0I7000EU35R</t>
  </si>
  <si>
    <t>1LSD0I7000EUNC2</t>
  </si>
  <si>
    <t>1LSD0I7000EUN0X</t>
  </si>
  <si>
    <t>1LSD0I7000ERQ4T</t>
  </si>
  <si>
    <t>1LSD0I7000EULX5</t>
  </si>
  <si>
    <t>1LSD0I7000DDI1P</t>
  </si>
  <si>
    <t>1LSD0I7000DU3NE</t>
  </si>
  <si>
    <t>1LSD0I7000DRGZM</t>
  </si>
  <si>
    <t>1LSD0I7000CXUDH</t>
  </si>
  <si>
    <t>1LSD0I7000EUKCP</t>
  </si>
  <si>
    <t>1LSD0I7000EUXH5</t>
  </si>
  <si>
    <t>1LSD0I7000DSECW</t>
  </si>
  <si>
    <t>1LSD0I7000D020E</t>
  </si>
  <si>
    <t>1LSD0I7000D09PE</t>
  </si>
  <si>
    <t>1LSD0I7000D91BW</t>
  </si>
  <si>
    <t>1LSD0I7000BE5B8</t>
  </si>
  <si>
    <t>1LSD0I7000C5I8Y</t>
  </si>
  <si>
    <t>1LSD0I7000BWOJC</t>
  </si>
  <si>
    <t>1LSD0I7000DAXCP</t>
  </si>
  <si>
    <t>1LSD0I7000C1HRA</t>
  </si>
  <si>
    <t>1LSD0I7000CP7VO</t>
  </si>
  <si>
    <t>1LSD0I7000AMDGM</t>
  </si>
  <si>
    <t>1LSD0I7000C1BJ6</t>
  </si>
  <si>
    <t>1LSD0I7000DX4VC</t>
  </si>
  <si>
    <t>1LSD0I7000CWARY</t>
  </si>
  <si>
    <t>1LSD0I7000D07SF</t>
  </si>
  <si>
    <t>1LSD0I7000EA4TE</t>
  </si>
  <si>
    <t>1LSD0I7000E9NNI</t>
  </si>
  <si>
    <t>1LSD0I7000EUAMS</t>
  </si>
  <si>
    <t>1LSD0I7000EFK50</t>
  </si>
  <si>
    <t>1LSD0I7000ERPGF</t>
  </si>
  <si>
    <t>1LSD0I7000E7MR0</t>
  </si>
  <si>
    <t>1LSD0I7000E4O35</t>
  </si>
  <si>
    <t>1LSD0I7000EUMPW</t>
  </si>
  <si>
    <t>1LSD0I7000EA1AV</t>
  </si>
  <si>
    <t>1LSD0I7000ED45Q</t>
  </si>
  <si>
    <t>1LSD0I7000ERRLM</t>
  </si>
  <si>
    <t>1LSD0I7000ED1YS</t>
  </si>
  <si>
    <t>1LSD0I7000E9NPI</t>
  </si>
  <si>
    <t>1LSD0I7000ERGRH</t>
  </si>
  <si>
    <t>1LSD0I7000DUDUM</t>
  </si>
  <si>
    <t>1LSD0I7000CW7S5</t>
  </si>
  <si>
    <t>1LSD0I7000BPE5B</t>
  </si>
  <si>
    <t>1LSD0I7000DFZ7N</t>
  </si>
  <si>
    <t>1LSD0I7000C7LJI</t>
  </si>
  <si>
    <t>1LSD0I7000DUPUU</t>
  </si>
  <si>
    <t>1LSD0I7000D8PVJ</t>
  </si>
  <si>
    <t>1LSD0I7000DCS4L</t>
  </si>
  <si>
    <t>1LSD0I7000DD30X</t>
  </si>
  <si>
    <t>1LSD0I7000DS370</t>
  </si>
  <si>
    <t>1LSD0I7000DBODO</t>
  </si>
  <si>
    <t>1LSD0I7000D1QNP</t>
  </si>
  <si>
    <t>1LSD0I7000CUEZJ</t>
  </si>
  <si>
    <t>1LSD0I7000DPPPE</t>
  </si>
  <si>
    <t>1LSD0I7000EGJFV</t>
  </si>
  <si>
    <t>1LSD0I7000E9XBF</t>
  </si>
  <si>
    <t>1LSD0I7000E9ZAT</t>
  </si>
  <si>
    <t>1LSD0I7000DWSRU</t>
  </si>
  <si>
    <t>1LSD0I7000E6M7Z</t>
  </si>
  <si>
    <t>1LSD0I7000DX7KV</t>
  </si>
  <si>
    <t>1LSD0I7000DWLRO</t>
  </si>
  <si>
    <t>1LSD0I7000EFSPY</t>
  </si>
  <si>
    <t>1LSD0I7000EFOMD</t>
  </si>
  <si>
    <t>1LSD0I7000ECTNV</t>
  </si>
  <si>
    <t>1LSD0I7000DWFK5</t>
  </si>
  <si>
    <t>1LSD0I7000EOI0J</t>
  </si>
  <si>
    <t>1LSD0I7000ECSQ2</t>
  </si>
  <si>
    <t>1LSD0I7000EAKV8</t>
  </si>
  <si>
    <t>1LSD0I7000ECDNV</t>
  </si>
  <si>
    <t>1LSD0I7000ED9SI</t>
  </si>
  <si>
    <t>1LSD0I7000EWWR5</t>
  </si>
  <si>
    <t>1LSD0I7000ECT15</t>
  </si>
  <si>
    <t>1LSD0I7000EWVSH</t>
  </si>
  <si>
    <t>1LSD0I7000EDEAD</t>
  </si>
  <si>
    <t>1LSD0I7000E9Q7Y</t>
  </si>
  <si>
    <t>1LSD0I7000ERSIQ</t>
  </si>
  <si>
    <t>1LSD0I7000DV1W1</t>
  </si>
  <si>
    <t>1LSD0I7000DBR0U</t>
  </si>
  <si>
    <t>1LSD0I7000DUN4J</t>
  </si>
  <si>
    <t>1LSD0I7000D73FA</t>
  </si>
  <si>
    <t>1LSD0I7000CNCWX</t>
  </si>
  <si>
    <t>1LSD0I7000DUNEX</t>
  </si>
  <si>
    <t>1LSD0I7000DWIBU</t>
  </si>
  <si>
    <t>1LSD0I7000DWE9C</t>
  </si>
  <si>
    <t>1LSD0I7000E7FL5</t>
  </si>
  <si>
    <t>1LSD0I7000ERID7</t>
  </si>
  <si>
    <t>1LSD0I7000DX283</t>
  </si>
  <si>
    <t>1LSD0I7000E9Y8T</t>
  </si>
  <si>
    <t>1LSD0I7000EFP8S</t>
  </si>
  <si>
    <t>1LSD0I7000DWQ4T</t>
  </si>
  <si>
    <t>1LSD0I7000E9PLL</t>
  </si>
  <si>
    <t>1LSD0I7000EOTSP</t>
  </si>
  <si>
    <t>1LSD0I7000DUANQ</t>
  </si>
  <si>
    <t>1LSD0I7000EU4TE</t>
  </si>
  <si>
    <t>1LSD0I7000EUYYW</t>
  </si>
  <si>
    <t>1LSD0I7000EO3O5</t>
  </si>
  <si>
    <t>1LSD0I7000DSPBR</t>
  </si>
  <si>
    <t>1LSD0I7000CQMYB</t>
  </si>
  <si>
    <t>1LSD0I7000D1Q6G</t>
  </si>
  <si>
    <t>1LSD0I7000D7C2K</t>
  </si>
  <si>
    <t>1LSD0I7000CQ4RW</t>
  </si>
  <si>
    <t>1LSD0I7000CP4IU</t>
  </si>
  <si>
    <t>1LSD0I7000D8EIS</t>
  </si>
  <si>
    <t>1LSD0I7000DBEKW</t>
  </si>
  <si>
    <t>1LSD0I7000CP5IH</t>
  </si>
  <si>
    <t>1LSD0I7000DM6FM</t>
  </si>
  <si>
    <t>1LSD0I7000CVQT9</t>
  </si>
  <si>
    <t>1LSD0I7000DFUA0</t>
  </si>
  <si>
    <t>1LSD0I7000CP5FQ</t>
  </si>
  <si>
    <t>1LSD0I7000D8EK8</t>
  </si>
  <si>
    <t>1LSD0I7000CJOT7</t>
  </si>
  <si>
    <t>1LSD0I7000DBMFA</t>
  </si>
  <si>
    <t>1LSD0I7000DQBEL</t>
  </si>
  <si>
    <t>1LSD0I7000DBHPV</t>
  </si>
  <si>
    <t>1LSD0I7000CC87I</t>
  </si>
  <si>
    <t>1LSD0I7000CN9K6</t>
  </si>
  <si>
    <t>1LSD0I7000DS3B5</t>
  </si>
  <si>
    <t>1LSD0I7000CP5MS</t>
  </si>
  <si>
    <t>1LSD0I7000DPGEB</t>
  </si>
  <si>
    <t>1LSD0I7000DBI6C</t>
  </si>
  <si>
    <t>1LSD0I7000DE20B</t>
  </si>
  <si>
    <t>1LSD0I7000D8LNI</t>
  </si>
  <si>
    <t>1LSD0I7000D7IQE</t>
  </si>
  <si>
    <t>1LSD0I7000D8ZPP</t>
  </si>
  <si>
    <t>1LSD0I7000CYVPZ</t>
  </si>
  <si>
    <t>1LSD0I7000CLLY4</t>
  </si>
  <si>
    <t>1LSD0I7000CPDZF</t>
  </si>
  <si>
    <t>1LSD0I7000CULWH</t>
  </si>
  <si>
    <t>1LSD0I7000CUOT5</t>
  </si>
  <si>
    <t>1LSD0I7000CUU83</t>
  </si>
  <si>
    <t>1LSD0I7000BR2FJ</t>
  </si>
  <si>
    <t>1LSD0I7000BUTV0</t>
  </si>
  <si>
    <t>1LSD0I7000BX2P1</t>
  </si>
  <si>
    <t>1LSD0I7000C5E23</t>
  </si>
  <si>
    <t>1LSD0I7000BX2LL</t>
  </si>
  <si>
    <t>1LSD0I7000C059C</t>
  </si>
  <si>
    <t>1LSD0I7000C18PS</t>
  </si>
  <si>
    <t>1LSD0I7000C78Z8</t>
  </si>
  <si>
    <t>1LSD0I7000C1GQQ</t>
  </si>
  <si>
    <t>1LSD0I7000C7G8C</t>
  </si>
  <si>
    <t>1LSD0I7000C1HQZ</t>
  </si>
  <si>
    <t>1LSD0I7000C7NOU</t>
  </si>
  <si>
    <t>1LSD0I7000BNKQU</t>
  </si>
  <si>
    <t>1LSD0I7000BFOZ9</t>
  </si>
  <si>
    <t>1LSD0I7000BML2I</t>
  </si>
  <si>
    <t>1LSD0I7000AMDFB</t>
  </si>
  <si>
    <t>1LSD0I7000AMI79</t>
  </si>
  <si>
    <t>1LSD0I7000BCUWI</t>
  </si>
  <si>
    <t>1LSD0I7000BWNKG</t>
  </si>
  <si>
    <t>1LSD0I7000ATPXJ</t>
  </si>
  <si>
    <t>1LSD0I7000BMKJ2</t>
  </si>
  <si>
    <t>1LSD0I7000B402Z</t>
  </si>
  <si>
    <t>1LSD0I7000AKS2E</t>
  </si>
  <si>
    <t>1LSD0I7000BFEFB</t>
  </si>
  <si>
    <t>1LSD0I7000AMD9V</t>
  </si>
  <si>
    <t>1LSD0I7000AMC7D</t>
  </si>
  <si>
    <t>1LSD0I7000AXSHD</t>
  </si>
  <si>
    <t>1LSD0I7000AXUV0</t>
  </si>
  <si>
    <t>1LSD0I7000AV9MI</t>
  </si>
  <si>
    <t>1LSD0I7000AWRT8</t>
  </si>
  <si>
    <t>1LSD0I7000AXJHL</t>
  </si>
  <si>
    <t>1LSD0I7000BCAWY</t>
  </si>
  <si>
    <t>1LSD0I7000B5NKB</t>
  </si>
  <si>
    <t>1LSD0I7000B5Q5P</t>
  </si>
  <si>
    <t>1LSD0I7000B5QRJ</t>
  </si>
  <si>
    <t>1LSD0I7000B6KNT</t>
  </si>
  <si>
    <t>1LSD0I7000BCU6S</t>
  </si>
  <si>
    <t>1LSD0I7000BCUDS</t>
  </si>
  <si>
    <t>1LSD0I7000B6ZYK</t>
  </si>
  <si>
    <t>1LSD0I7000BDZI4</t>
  </si>
  <si>
    <t>1LSD0I7000B4AX5</t>
  </si>
  <si>
    <t>1LSD0I7000B71EH</t>
  </si>
  <si>
    <t>1LSD0I7000B4F8E</t>
  </si>
  <si>
    <t>1LSD0I7000BARNA</t>
  </si>
  <si>
    <t>1LSD0I7000BCUYP</t>
  </si>
  <si>
    <t>1LSD0I7000BH9IG</t>
  </si>
  <si>
    <t>1LSD0I7000BH9UR</t>
  </si>
  <si>
    <t>1LSD0I7000BMFKS</t>
  </si>
  <si>
    <t>1LSD0I7000BEC9W</t>
  </si>
  <si>
    <t>1LSD0I7000BNJ6J</t>
  </si>
  <si>
    <t>1LSD0I7000BFI17</t>
  </si>
  <si>
    <t>1LSD0I7000BFL04</t>
  </si>
  <si>
    <t>1LSD0I7000BFU0S</t>
  </si>
  <si>
    <t>1LSD0I7000BPLXS</t>
  </si>
  <si>
    <t>1LSD0I7000BWJGF</t>
  </si>
  <si>
    <t>1LSD0I7000BWLIA</t>
  </si>
  <si>
    <t>1LSD0I7000BQSSM</t>
  </si>
  <si>
    <t>1LSD0I7000BQTYC</t>
  </si>
  <si>
    <t>1LSD0I7000BQX16</t>
  </si>
  <si>
    <t>1LSD0I7000BY82P</t>
  </si>
  <si>
    <t>1LSD0I7000BO0TB</t>
  </si>
  <si>
    <t>1LSD0I7000BO2P7</t>
  </si>
  <si>
    <t>1LSD0I7000BQZKQ</t>
  </si>
  <si>
    <t>1LSD0I7000BQZZ3</t>
  </si>
  <si>
    <t>1LSD0I7000BR247</t>
  </si>
  <si>
    <t>1LSD0I7000BP070</t>
  </si>
  <si>
    <t>1LSD0I7000BZU8I</t>
  </si>
  <si>
    <t>1LSD0I7000BPE2J</t>
  </si>
  <si>
    <t>1LSD0I7000BV0O2</t>
  </si>
  <si>
    <t>1LSD0I7000BKO7G</t>
  </si>
  <si>
    <t>1LSD0I7000BPI0C</t>
  </si>
  <si>
    <t>1LSD0I7000BPIFE</t>
  </si>
  <si>
    <t>1LSD0I7000BVCIZ</t>
  </si>
  <si>
    <t>1LSD0I7000BR0CV</t>
  </si>
  <si>
    <t>1LSD0I7000BUV0K</t>
  </si>
  <si>
    <t>1LSD0I7000BV81K</t>
  </si>
  <si>
    <t>1LSD0I7000BVBS3</t>
  </si>
  <si>
    <t>1LSD0I7000BZU5T</t>
  </si>
  <si>
    <t>1LSD0I7000C7WKI</t>
  </si>
  <si>
    <t>1LSD0I7000BWFWI</t>
  </si>
  <si>
    <t>1LSD0I7000C00CW</t>
  </si>
  <si>
    <t>1LSD0I7000C5MXF</t>
  </si>
  <si>
    <t>1LSD0I7000BY3KH</t>
  </si>
  <si>
    <t>1LSD0I7000C04XV</t>
  </si>
  <si>
    <t>1LSD0I7000C9JM8</t>
  </si>
  <si>
    <t>1LSD0I7000BYJV3</t>
  </si>
  <si>
    <t>1LSD0I7000BYL1N</t>
  </si>
  <si>
    <t>1LSD0I7000C1BAE</t>
  </si>
  <si>
    <t>1LSD0I7000C1DSJ</t>
  </si>
  <si>
    <t>1LSD0I7000CC117</t>
  </si>
  <si>
    <t>1LSD0I7000CC68Z</t>
  </si>
  <si>
    <t>1LSD0I7000CKUOB</t>
  </si>
  <si>
    <t>1LSD0I7000CKWW2</t>
  </si>
  <si>
    <t>1LSD0I7000CL0BO</t>
  </si>
  <si>
    <t>1LSD0I7000C77VQ</t>
  </si>
  <si>
    <t>1LSD0I7000CAQXU</t>
  </si>
  <si>
    <t>1LSD0I7000CMWX4</t>
  </si>
  <si>
    <t>1LSD0I7000C8XXF</t>
  </si>
  <si>
    <t>1LSD0I7000C9IKT</t>
  </si>
  <si>
    <t>1LSD0I7000C96QY</t>
  </si>
  <si>
    <t>1LSD0I7000CN03G</t>
  </si>
  <si>
    <t>1LSD0I7000CN0A8</t>
  </si>
  <si>
    <t>1LSD0I7000CPBUK</t>
  </si>
  <si>
    <t>1LSD0I7000CWLV2</t>
  </si>
  <si>
    <t>1LSD0I7000CP95J</t>
  </si>
  <si>
    <t>1LSD0I7000CWF8A</t>
  </si>
  <si>
    <t>1LSD0I7000CWLTM</t>
  </si>
  <si>
    <t>1LSD0I7000CYUT1</t>
  </si>
  <si>
    <t>1LSD0I7000CNCOU</t>
  </si>
  <si>
    <t>1LSD0I7000CNJAV</t>
  </si>
  <si>
    <t>1LSD0I7000CN0BP</t>
  </si>
  <si>
    <t>1LSD0I7000CQJSE</t>
  </si>
  <si>
    <t>1LSD0I7000CWRWM</t>
  </si>
  <si>
    <t>1LSD0I7000CY6OF</t>
  </si>
  <si>
    <t>1LSD0I7000CNK23</t>
  </si>
  <si>
    <t>1LSD0I7000CWT3C</t>
  </si>
  <si>
    <t>1LSD0I7000CP5K9</t>
  </si>
  <si>
    <t>1LSD0I7000CWDK2</t>
  </si>
  <si>
    <t>1LSD0I7000CYTIL</t>
  </si>
  <si>
    <t>1LSD0I7000D0DK1</t>
  </si>
  <si>
    <t>1LSD0I7000CPC86</t>
  </si>
  <si>
    <t>1LSD0I7000CUP6Q</t>
  </si>
  <si>
    <t>1LSD0I7000CYRT4</t>
  </si>
  <si>
    <t>1LSD0I7000D1X9S</t>
  </si>
  <si>
    <t>1LSD0I7000D01R7</t>
  </si>
  <si>
    <t>1LSD0I7000D0C0V</t>
  </si>
  <si>
    <t>1LSD0I7000DBCCL</t>
  </si>
  <si>
    <t>1LSD0I7000D0L1E</t>
  </si>
  <si>
    <t>1LSD0I7000CYO41</t>
  </si>
  <si>
    <t>1LSD0I7000D2783</t>
  </si>
  <si>
    <t>1LSD0I7000CYEDN</t>
  </si>
  <si>
    <t>1LSD0I7000D6W96</t>
  </si>
  <si>
    <t>1LSD0I7000DCYO4</t>
  </si>
  <si>
    <t>1LSD0I7000DRZ19</t>
  </si>
  <si>
    <t>1LSD0I7000DBTK0</t>
  </si>
  <si>
    <t>1LSD0I7000DQ0BL</t>
  </si>
  <si>
    <t>1LSD0I7000DDCL0</t>
  </si>
  <si>
    <t>1LSD0I7000DS507</t>
  </si>
  <si>
    <t>1LSD0I7000DS5MG</t>
  </si>
  <si>
    <t>1LSD0I7000DSAJD</t>
  </si>
  <si>
    <t>1LSD0I7000D91R6</t>
  </si>
  <si>
    <t>1LSD0I7000DE2VV</t>
  </si>
  <si>
    <t>1LSD0I7000DNETC</t>
  </si>
  <si>
    <t>1LSD0I7000DDNWX</t>
  </si>
  <si>
    <t>1LSD0I7000DDUCH</t>
  </si>
  <si>
    <t>1LSD0I7000DB47J</t>
  </si>
  <si>
    <t>1LSD0I7000DE2V6</t>
  </si>
  <si>
    <t>1LSD0I7000DM9LI</t>
  </si>
  <si>
    <t>1LSD0I7000DMFT4</t>
  </si>
  <si>
    <t>1LSD0I7000DMGOZ</t>
  </si>
  <si>
    <t>1LSD0I7000DMGPW</t>
  </si>
  <si>
    <t>1LSD0I7000D2AH5</t>
  </si>
  <si>
    <t>1LSD0I7000D904Z</t>
  </si>
  <si>
    <t>1LSD0I7000D9188</t>
  </si>
  <si>
    <t>1LSD0I7000DBLKJ</t>
  </si>
  <si>
    <t>1LSD0I7000DDLH1</t>
  </si>
  <si>
    <t>1LSD0I7000DGC3X</t>
  </si>
  <si>
    <t>1LSD0I7000DGC7C</t>
  </si>
  <si>
    <t>1LSD0I7000DN2LW</t>
  </si>
  <si>
    <t>1LSD0I7000DRVJO</t>
  </si>
  <si>
    <t>1LSD0I7000DBPL8</t>
  </si>
  <si>
    <t>1LSD0I7000DFC1D</t>
  </si>
  <si>
    <t>1LSD0I7000DMREZ</t>
  </si>
  <si>
    <t>1LSD0I7000DPM3Q</t>
  </si>
  <si>
    <t>1LSD0I7000DNCNA</t>
  </si>
  <si>
    <t>1LSD0I7000DXOHP</t>
  </si>
  <si>
    <t>1LSD0I7000DPN27</t>
  </si>
  <si>
    <t>1LSD0I7000DV1NP</t>
  </si>
  <si>
    <t>1LSD0I7000DQ2RB</t>
  </si>
  <si>
    <t>1LSD0I7000DQ6QT</t>
  </si>
  <si>
    <t>1LSD0I7000DV696</t>
  </si>
  <si>
    <t>1LSD0I7000DV6WY</t>
  </si>
  <si>
    <t>1LSD0I7000DV901</t>
  </si>
  <si>
    <t>1LSD0I7000DWEIQ</t>
  </si>
  <si>
    <t>1LSD0I7000DS0SF</t>
  </si>
  <si>
    <t>1LSD0I7000DS6EP</t>
  </si>
  <si>
    <t>1LSD0I7000DWQNX</t>
  </si>
  <si>
    <t>1LSD0I7000DWSYY</t>
  </si>
  <si>
    <t>1LSD0I7000DWT63</t>
  </si>
  <si>
    <t>1LSD0I7000EAK19</t>
  </si>
  <si>
    <t>1LSD0I7000EAKI0</t>
  </si>
  <si>
    <t>1LSD0I7000DSQJS</t>
  </si>
  <si>
    <t>1LSD0I7000DX1ZG</t>
  </si>
  <si>
    <t>1LSD0I7000E5239</t>
  </si>
  <si>
    <t>1LSD0I7000E4727</t>
  </si>
  <si>
    <t>1LSD0I7000ED9CN</t>
  </si>
  <si>
    <t>1LSD0I7000ERQ18</t>
  </si>
  <si>
    <t>1LSD0I7000ERYPK</t>
  </si>
  <si>
    <t>1LSD0I7000E9WMU</t>
  </si>
  <si>
    <t>1LSD0I7000ERXQR</t>
  </si>
  <si>
    <t>1LSD0I7000EAL2K</t>
  </si>
  <si>
    <t>1LSD0I7000EOBXH</t>
  </si>
  <si>
    <t>1LSD0I7000EUJQH</t>
  </si>
  <si>
    <t>1LSD0I7000EANBO</t>
  </si>
  <si>
    <t>1LSD0I7000EAPFP</t>
  </si>
  <si>
    <t>1LSD0I7000DUN6A</t>
  </si>
  <si>
    <t>1LSD0I7000DUR94</t>
  </si>
  <si>
    <t>1LSD0I7000DU1PF</t>
  </si>
  <si>
    <t>1LSD0I7000BZUHR</t>
  </si>
  <si>
    <t>1LSD0I7000CC504</t>
  </si>
  <si>
    <t>1LSD0I7000DUNHC</t>
  </si>
  <si>
    <t>1LSD0I7000DWM5U</t>
  </si>
  <si>
    <t>1LSD0I7000DSCSQ</t>
  </si>
  <si>
    <t>1LSD0I7000DSDKU</t>
  </si>
  <si>
    <t>1LSD0I7000DSG0Q</t>
  </si>
  <si>
    <t>1LSD0I7000DU1GB</t>
  </si>
  <si>
    <t>1LSD0I7000DU3KX</t>
  </si>
  <si>
    <t>1LSD0I7000DX6Q9</t>
  </si>
  <si>
    <t>1LSD0I7000DX7N4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</si>
</sst>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44" fontId="3" fillId="0" borderId="0" xfId="1" applyFont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hompson\Downloads\AutoInvoiceImportTemplate_v1.0-blank.xlsm" TargetMode="External"/><Relationship Id="rId1" Type="http://schemas.openxmlformats.org/officeDocument/2006/relationships/externalLinkPath" Target="/Users/ethompson/Downloads/AutoInvoiceImportTemplate_v1.0-blank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traclogistics-my.sharepoint.com/personal/tnguyen_ontrac_com/Documents/Desktop/Credits%20Issued%20PDF/2025/11.2025/1125%20EAST/PICANOVA_CM251118PICANOVA_$25,157.12/Picanova_AH_LP_OML_Recalc_2025_10_19v3.xlsx" TargetMode="External"/><Relationship Id="rId1" Type="http://schemas.openxmlformats.org/officeDocument/2006/relationships/externalLinkPath" Target="https://ontraclogistics-my.sharepoint.com/personal/tnguyen_ontrac_com/Documents/Desktop/Credits%20Issued%20PDF/2025/11.2025/1125%20EAST/PICANOVA_CM251118PICANOVA_$25,157.12/Picanova_AH_LP_OML_Recalc_2025_10_19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 and CSV Generation"/>
      <sheetName val="RA_INTERFACE_LINES_ALL"/>
      <sheetName val="RA_INTERFACE_DISTRIBUTIONS_ALL"/>
      <sheetName val="RA_INTERFACE_SALESCREDITS_ALL"/>
      <sheetName val="AR_INTERFACE_CONTS_AL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 Summary"/>
      <sheetName val="Recalc"/>
      <sheetName val="Lookups"/>
      <sheetName val="Dims"/>
      <sheetName val="Fuel &amp; Rates"/>
      <sheetName val="Denied Barcodes"/>
      <sheetName val="RA_INTERFACE_LINES_ALL"/>
      <sheetName val="RA_INTERFACE_DISTRIBUTIONS_REV"/>
      <sheetName val="RA_INTERFACE_DISTRIBUTIONS_ REC"/>
      <sheetName val="UPDATE STEPS"/>
    </sheetNames>
    <sheetDataSet>
      <sheetData sheetId="0"/>
      <sheetData sheetId="1">
        <row r="2">
          <cell r="BX2">
            <v>-25157.119999999999</v>
          </cell>
        </row>
        <row r="3">
          <cell r="A3" t="str">
            <v>Barcode</v>
          </cell>
          <cell r="BX3" t="str">
            <v>Variance_TotalCharges</v>
          </cell>
        </row>
        <row r="4">
          <cell r="A4" t="str">
            <v>1LSD0I7000AMDGM</v>
          </cell>
          <cell r="BX4">
            <v>-103.79</v>
          </cell>
        </row>
        <row r="5">
          <cell r="A5" t="str">
            <v>1LSD0I7000BE5B8</v>
          </cell>
          <cell r="BX5">
            <v>-119.11</v>
          </cell>
        </row>
        <row r="6">
          <cell r="A6" t="str">
            <v>1LSD0I7000BPE5B</v>
          </cell>
          <cell r="BX6">
            <v>-25.95</v>
          </cell>
        </row>
        <row r="7">
          <cell r="A7" t="str">
            <v>1LSD0I7000BWOJC</v>
          </cell>
          <cell r="BX7">
            <v>-116.62</v>
          </cell>
        </row>
        <row r="8">
          <cell r="A8" t="str">
            <v>1LSD0I7000C1BJ6</v>
          </cell>
          <cell r="BX8">
            <v>-101.71</v>
          </cell>
        </row>
        <row r="9">
          <cell r="A9" t="str">
            <v>1LSD0I7000C1HRA</v>
          </cell>
          <cell r="BX9">
            <v>-107.02</v>
          </cell>
        </row>
        <row r="10">
          <cell r="A10" t="str">
            <v>1LSD0I7000C5I8Y</v>
          </cell>
          <cell r="BX10">
            <v>-118.91</v>
          </cell>
        </row>
        <row r="11">
          <cell r="A11" t="str">
            <v>1LSD0I7000C7LJI</v>
          </cell>
          <cell r="BX11">
            <v>-20.78</v>
          </cell>
        </row>
        <row r="12">
          <cell r="A12" t="str">
            <v>1LSD0I7000CP7VO</v>
          </cell>
          <cell r="BX12">
            <v>-105.56</v>
          </cell>
        </row>
        <row r="13">
          <cell r="A13" t="str">
            <v>1LSD0I7000CW7S5</v>
          </cell>
          <cell r="BX13">
            <v>-26.8</v>
          </cell>
        </row>
        <row r="14">
          <cell r="A14" t="str">
            <v>1LSD0I7000CWARY</v>
          </cell>
          <cell r="BX14">
            <v>-97.66</v>
          </cell>
        </row>
        <row r="15">
          <cell r="A15" t="str">
            <v>1LSD0I7000CXUDH</v>
          </cell>
          <cell r="BX15">
            <v>-1438.7</v>
          </cell>
        </row>
        <row r="16">
          <cell r="A16" t="str">
            <v>1LSD0I7000D020E</v>
          </cell>
          <cell r="BX16">
            <v>-148.57</v>
          </cell>
        </row>
        <row r="17">
          <cell r="A17" t="str">
            <v>1LSD0I7000D07SF</v>
          </cell>
          <cell r="BX17">
            <v>-94.2</v>
          </cell>
        </row>
        <row r="18">
          <cell r="A18" t="str">
            <v>1LSD0I7000D09PE</v>
          </cell>
          <cell r="BX18">
            <v>-137.66999999999999</v>
          </cell>
        </row>
        <row r="19">
          <cell r="A19" t="str">
            <v>1LSD0I7000D8PVJ</v>
          </cell>
          <cell r="BX19">
            <v>-18.21</v>
          </cell>
        </row>
        <row r="20">
          <cell r="A20" t="str">
            <v>1LSD0I7000D91BW</v>
          </cell>
          <cell r="BX20">
            <v>-120.41</v>
          </cell>
        </row>
        <row r="21">
          <cell r="A21" t="str">
            <v>1LSD0I7000DAXCP</v>
          </cell>
          <cell r="BX21">
            <v>-116.36</v>
          </cell>
        </row>
        <row r="22">
          <cell r="A22" t="str">
            <v>1LSD0I7000DBODO</v>
          </cell>
          <cell r="BX22">
            <v>-14.49</v>
          </cell>
        </row>
        <row r="23">
          <cell r="A23" t="str">
            <v>1LSD0I7000DCS4L</v>
          </cell>
          <cell r="BX23">
            <v>-15.22</v>
          </cell>
        </row>
        <row r="24">
          <cell r="A24" t="str">
            <v>1LSD0I7000DD30X</v>
          </cell>
          <cell r="BX24">
            <v>-15.09</v>
          </cell>
        </row>
        <row r="25">
          <cell r="A25" t="str">
            <v>1LSD0I7000DDI1P</v>
          </cell>
          <cell r="BX25">
            <v>-1450.09</v>
          </cell>
        </row>
        <row r="26">
          <cell r="A26" t="str">
            <v>1LSD0I7000DFZ7N</v>
          </cell>
          <cell r="BX26">
            <v>-20.9</v>
          </cell>
        </row>
        <row r="27">
          <cell r="A27" t="str">
            <v>1LSD0I7000DRGZM</v>
          </cell>
          <cell r="BX27">
            <v>-1447.98</v>
          </cell>
        </row>
        <row r="28">
          <cell r="A28" t="str">
            <v>1LSD0I7000DS370</v>
          </cell>
          <cell r="BX28">
            <v>-14.98</v>
          </cell>
        </row>
        <row r="29">
          <cell r="A29" t="str">
            <v>1LSD0I7000DSECW</v>
          </cell>
          <cell r="BX29">
            <v>-149.38999999999999</v>
          </cell>
        </row>
        <row r="30">
          <cell r="A30" t="str">
            <v>1LSD0I7000DU3NE</v>
          </cell>
          <cell r="BX30">
            <v>-1448.46</v>
          </cell>
        </row>
        <row r="31">
          <cell r="A31" t="str">
            <v>1LSD0I7000DUDUM</v>
          </cell>
          <cell r="BX31">
            <v>-28.14</v>
          </cell>
        </row>
        <row r="32">
          <cell r="A32" t="str">
            <v>1LSD0I7000DUPUU</v>
          </cell>
          <cell r="BX32">
            <v>-19.21</v>
          </cell>
        </row>
        <row r="33">
          <cell r="A33" t="str">
            <v>1LSD0I7000DX4VC</v>
          </cell>
          <cell r="BX33">
            <v>-97.86</v>
          </cell>
        </row>
        <row r="34">
          <cell r="A34" t="str">
            <v>1LSD0I7000E4O35</v>
          </cell>
          <cell r="BX34">
            <v>-33.770000000000003</v>
          </cell>
        </row>
        <row r="35">
          <cell r="A35" t="str">
            <v>1LSD0I7000E7MR0</v>
          </cell>
          <cell r="BX35">
            <v>-34.01</v>
          </cell>
        </row>
        <row r="36">
          <cell r="A36" t="str">
            <v>1LSD0I7000E7T2V</v>
          </cell>
          <cell r="BX36">
            <v>-2083.84</v>
          </cell>
        </row>
        <row r="37">
          <cell r="A37" t="str">
            <v>1LSD0I7000E9NNI</v>
          </cell>
          <cell r="BX37">
            <v>-36.31</v>
          </cell>
        </row>
        <row r="38">
          <cell r="A38" t="str">
            <v>1LSD0I7000E9NPI</v>
          </cell>
          <cell r="BX38">
            <v>-30.58</v>
          </cell>
        </row>
        <row r="39">
          <cell r="A39" t="str">
            <v>1LSD0I7000EA1AV</v>
          </cell>
          <cell r="BX39">
            <v>-33.11</v>
          </cell>
        </row>
        <row r="40">
          <cell r="A40" t="str">
            <v>1LSD0I7000EA4TE</v>
          </cell>
          <cell r="BX40">
            <v>-40.130000000000003</v>
          </cell>
        </row>
        <row r="41">
          <cell r="A41" t="str">
            <v>1LSD0I7000EAHIQ</v>
          </cell>
          <cell r="BX41">
            <v>-2091.5</v>
          </cell>
        </row>
        <row r="42">
          <cell r="A42" t="str">
            <v>1LSD0I7000ED1YS</v>
          </cell>
          <cell r="BX42">
            <v>-31.34</v>
          </cell>
        </row>
        <row r="43">
          <cell r="A43" t="str">
            <v>1LSD0I7000ED45Q</v>
          </cell>
          <cell r="BX43">
            <v>-31.91</v>
          </cell>
        </row>
        <row r="44">
          <cell r="A44" t="str">
            <v>1LSD0I7000EFK50</v>
          </cell>
          <cell r="BX44">
            <v>-35.93</v>
          </cell>
        </row>
        <row r="45">
          <cell r="A45" t="str">
            <v>1LSD0I7000ERGRH</v>
          </cell>
          <cell r="BX45">
            <v>-30.08</v>
          </cell>
        </row>
        <row r="46">
          <cell r="A46" t="str">
            <v>1LSD0I7000ERPGF</v>
          </cell>
          <cell r="BX46">
            <v>-34.270000000000003</v>
          </cell>
        </row>
        <row r="47">
          <cell r="A47" t="str">
            <v>1LSD0I7000ERQ4T</v>
          </cell>
          <cell r="BX47">
            <v>-2042.98</v>
          </cell>
        </row>
        <row r="48">
          <cell r="A48" t="str">
            <v>1LSD0I7000ERRLM</v>
          </cell>
          <cell r="BX48">
            <v>-31.65</v>
          </cell>
        </row>
        <row r="49">
          <cell r="A49" t="str">
            <v>1LSD0I7000EU35R</v>
          </cell>
          <cell r="BX49">
            <v>-2052.29</v>
          </cell>
        </row>
        <row r="50">
          <cell r="A50" t="str">
            <v>1LSD0I7000EU9QA</v>
          </cell>
          <cell r="BX50">
            <v>-2052.79</v>
          </cell>
        </row>
        <row r="51">
          <cell r="A51" t="str">
            <v>1LSD0I7000EUAMS</v>
          </cell>
          <cell r="BX51">
            <v>-36.22</v>
          </cell>
        </row>
        <row r="52">
          <cell r="A52" t="str">
            <v>1LSD0I7000EUKCP</v>
          </cell>
          <cell r="BX52">
            <v>-256.43</v>
          </cell>
        </row>
        <row r="53">
          <cell r="A53" t="str">
            <v>1LSD0I7000EULX5</v>
          </cell>
          <cell r="BX53">
            <v>-2040.39</v>
          </cell>
        </row>
        <row r="54">
          <cell r="A54" t="str">
            <v>1LSD0I7000EUMPW</v>
          </cell>
          <cell r="BX54">
            <v>-33.19</v>
          </cell>
        </row>
        <row r="55">
          <cell r="A55" t="str">
            <v>1LSD0I7000EUN0X</v>
          </cell>
          <cell r="BX55">
            <v>-2048.66</v>
          </cell>
        </row>
        <row r="56">
          <cell r="A56" t="str">
            <v>1LSD0I7000EUNC2</v>
          </cell>
          <cell r="BX56">
            <v>-2052.15</v>
          </cell>
        </row>
        <row r="57">
          <cell r="A57" t="str">
            <v>1LSD0I7000EUXH5</v>
          </cell>
          <cell r="BX57">
            <v>-223.75</v>
          </cell>
        </row>
      </sheetData>
      <sheetData sheetId="2" refreshError="1"/>
      <sheetData sheetId="3" refreshError="1"/>
      <sheetData sheetId="4" refreshError="1"/>
      <sheetData sheetId="5">
        <row r="2">
          <cell r="A2" t="str">
            <v>1LSD0I7000BPIFE</v>
          </cell>
          <cell r="B2" t="str">
            <v>Denied, billed on customer dimensions</v>
          </cell>
        </row>
        <row r="3">
          <cell r="A3" t="str">
            <v>1LSD0I7000BO2P7</v>
          </cell>
          <cell r="B3" t="str">
            <v>Denied, billed on customer dimensions</v>
          </cell>
        </row>
        <row r="4">
          <cell r="A4" t="str">
            <v>1LSD0I7000CC68Z</v>
          </cell>
          <cell r="B4" t="str">
            <v>Denied, billed on customer dimensions</v>
          </cell>
        </row>
        <row r="5">
          <cell r="A5" t="str">
            <v>1LSD0I7000BDZI4</v>
          </cell>
          <cell r="B5" t="str">
            <v>Denied, billed on customer dimensions</v>
          </cell>
        </row>
        <row r="6">
          <cell r="A6" t="str">
            <v>1LSD0I7000BCAWY</v>
          </cell>
          <cell r="B6" t="str">
            <v>Denied, billed on customer dimensions</v>
          </cell>
        </row>
        <row r="7">
          <cell r="A7" t="str">
            <v>1LSD0I7000BR0CV</v>
          </cell>
          <cell r="B7" t="str">
            <v>Denied, billed on customer dimensions</v>
          </cell>
        </row>
        <row r="8">
          <cell r="A8" t="str">
            <v>1LSD0I7000BH9UR</v>
          </cell>
          <cell r="B8" t="str">
            <v>Denied, billed on customer dimensions</v>
          </cell>
        </row>
        <row r="9">
          <cell r="A9" t="str">
            <v>1LSD0I7000BH9IG</v>
          </cell>
          <cell r="B9" t="str">
            <v>Denied, billed on customer dimensions</v>
          </cell>
        </row>
        <row r="10">
          <cell r="A10" t="str">
            <v>1LSD0I7000C77VQ</v>
          </cell>
          <cell r="B10" t="str">
            <v>Denied, billed on customer dimensions</v>
          </cell>
        </row>
        <row r="11">
          <cell r="A11" t="str">
            <v>1LSD0I7000CL0BO</v>
          </cell>
          <cell r="B11" t="str">
            <v>Denied, billed on customer dimensions</v>
          </cell>
        </row>
        <row r="12">
          <cell r="A12" t="str">
            <v>1LSD0I7000CKWW2</v>
          </cell>
          <cell r="B12" t="str">
            <v>Denied, billed on customer dimensions</v>
          </cell>
        </row>
        <row r="13">
          <cell r="A13" t="str">
            <v>1LSD0I7000BZU8I</v>
          </cell>
          <cell r="B13" t="str">
            <v>Denied, billed on customer dimensions</v>
          </cell>
        </row>
        <row r="14">
          <cell r="A14" t="str">
            <v>1LSD0I7000BPLXS</v>
          </cell>
          <cell r="B14" t="str">
            <v>Denied, billed on customer dimensions</v>
          </cell>
        </row>
        <row r="15">
          <cell r="A15" t="str">
            <v>1LSD0I7000BO0TB</v>
          </cell>
          <cell r="B15" t="str">
            <v>Denied, billed on customer dimensions</v>
          </cell>
        </row>
        <row r="16">
          <cell r="A16" t="str">
            <v>1LSD0I7000B6KNT</v>
          </cell>
          <cell r="B16" t="str">
            <v>Denied, billed on customer dimensions</v>
          </cell>
        </row>
        <row r="17">
          <cell r="A17" t="str">
            <v>1LSD0I7000B4F8E</v>
          </cell>
          <cell r="B17" t="str">
            <v>Denied, billed on customer dimensions</v>
          </cell>
        </row>
        <row r="18">
          <cell r="A18" t="str">
            <v>1LSD0I7000C9JM8</v>
          </cell>
          <cell r="B18" t="str">
            <v>Denied, billed on customer dimensions</v>
          </cell>
        </row>
        <row r="19">
          <cell r="A19" t="str">
            <v>1LSD0I7000BY82P</v>
          </cell>
          <cell r="B19" t="str">
            <v>Denied, billed on customer dimensions</v>
          </cell>
        </row>
        <row r="20">
          <cell r="A20" t="str">
            <v>1LSD0I7000BQX16</v>
          </cell>
          <cell r="B20" t="str">
            <v>Denied, billed on customer dimensions</v>
          </cell>
        </row>
        <row r="21">
          <cell r="A21" t="str">
            <v>1LSD0I7000BP070</v>
          </cell>
          <cell r="B21" t="str">
            <v>Denied, billed on customer dimensions</v>
          </cell>
        </row>
        <row r="22">
          <cell r="A22" t="str">
            <v>1LSD0I7000BEC9W</v>
          </cell>
          <cell r="B22" t="str">
            <v>Denied, billed on customer dimensions</v>
          </cell>
        </row>
        <row r="23">
          <cell r="A23" t="str">
            <v>1LSD0I7000BCUYP</v>
          </cell>
          <cell r="B23" t="str">
            <v>Denied, billed on customer dimensions</v>
          </cell>
        </row>
        <row r="24">
          <cell r="A24" t="str">
            <v>1LSD0I7000B71EH</v>
          </cell>
          <cell r="B24" t="str">
            <v>Denied, billed on customer dimensions</v>
          </cell>
        </row>
        <row r="25">
          <cell r="A25" t="str">
            <v>1LSD0I7000BCUDS</v>
          </cell>
          <cell r="B25" t="str">
            <v>Denied, billed on customer dimensions</v>
          </cell>
        </row>
        <row r="26">
          <cell r="A26" t="str">
            <v>1LSD0I7000BCU6S</v>
          </cell>
          <cell r="B26" t="str">
            <v>Denied, billed on customer dimensions</v>
          </cell>
        </row>
        <row r="27">
          <cell r="A27" t="str">
            <v>1LSD0I7000B5QRJ</v>
          </cell>
          <cell r="B27" t="str">
            <v>Denied, billed on customer dimensions</v>
          </cell>
        </row>
        <row r="28">
          <cell r="A28" t="str">
            <v>1LSD0I7000BQZZ3</v>
          </cell>
          <cell r="B28" t="str">
            <v>Denied, billed on customer dimensions</v>
          </cell>
        </row>
        <row r="29">
          <cell r="A29" t="str">
            <v>1LSD0I7000CAQXU</v>
          </cell>
          <cell r="B29" t="str">
            <v>Denied, billed on customer dimensions</v>
          </cell>
        </row>
        <row r="30">
          <cell r="A30" t="str">
            <v>1LSD0I7000C5MXF</v>
          </cell>
          <cell r="B30" t="str">
            <v>Denied, billed on customer dimensions</v>
          </cell>
        </row>
        <row r="31">
          <cell r="A31" t="str">
            <v>1LSD0I7000CC117</v>
          </cell>
          <cell r="B31" t="str">
            <v>Denied, billed on customer dimensions</v>
          </cell>
        </row>
        <row r="32">
          <cell r="A32" t="str">
            <v>1LSD0I7000C7WKI</v>
          </cell>
          <cell r="B32" t="str">
            <v>Denied, billed on customer dimensions</v>
          </cell>
        </row>
        <row r="33">
          <cell r="A33" t="str">
            <v>1LSD0I7000BYJV3</v>
          </cell>
          <cell r="B33" t="str">
            <v>Denied, billed on customer dimensions</v>
          </cell>
        </row>
        <row r="34">
          <cell r="A34" t="str">
            <v>1LSD0I7000BWJGF</v>
          </cell>
          <cell r="B34" t="str">
            <v>Denied, billed on customer dimensions</v>
          </cell>
        </row>
        <row r="35">
          <cell r="A35" t="str">
            <v>1LSD0I7000BARNA</v>
          </cell>
          <cell r="B35" t="str">
            <v>Denied, billed on customer dimensions</v>
          </cell>
        </row>
        <row r="36">
          <cell r="A36" t="str">
            <v>1LSD0I7000C04XV</v>
          </cell>
          <cell r="B36" t="str">
            <v>Denied, billed on customer dimensions</v>
          </cell>
        </row>
        <row r="37">
          <cell r="A37" t="str">
            <v>1LSD0I7000BR2FJ</v>
          </cell>
          <cell r="B37" t="str">
            <v>Denied, customer dimensions meet girth definition for AH</v>
          </cell>
        </row>
        <row r="38">
          <cell r="A38" t="str">
            <v>1LSD0I7000C1HQZ</v>
          </cell>
          <cell r="B38" t="str">
            <v>Denied, customer dimensions meet girth definition for AH</v>
          </cell>
        </row>
        <row r="39">
          <cell r="A39" t="str">
            <v>1LSD0I7000BUTV0</v>
          </cell>
          <cell r="B39" t="str">
            <v>Denied, customer dimensions meet girth definition for AH</v>
          </cell>
        </row>
        <row r="40">
          <cell r="A40" t="str">
            <v>1LSD0I7000CLLY4</v>
          </cell>
          <cell r="B40" t="str">
            <v>Denied, customer dimensions meet girth definition for AH</v>
          </cell>
        </row>
        <row r="41">
          <cell r="A41" t="str">
            <v>1LSD0I7000BFI17</v>
          </cell>
          <cell r="B41" t="str">
            <v>Denied, customer dimensions meet girth definition for AH</v>
          </cell>
        </row>
        <row r="42">
          <cell r="A42" t="str">
            <v>1LSD0I7000BFU0S</v>
          </cell>
          <cell r="B42" t="str">
            <v>Denied, customer dimensions meet girth definition for AH</v>
          </cell>
        </row>
        <row r="43">
          <cell r="A43" t="str">
            <v>1LSD0I7000C7G8C</v>
          </cell>
          <cell r="B43" t="str">
            <v>Denied, customer dimensions meet girth definition for AH</v>
          </cell>
        </row>
        <row r="44">
          <cell r="A44" t="str">
            <v>1LSD0I7000BCUWI</v>
          </cell>
          <cell r="B44" t="str">
            <v>Denied, customer dimensions meet girth definition for AH</v>
          </cell>
        </row>
        <row r="45">
          <cell r="A45" t="str">
            <v>1LSD0I7000BQZKQ</v>
          </cell>
          <cell r="B45" t="str">
            <v>Denied, customer dimensions meet girth definition for AH</v>
          </cell>
        </row>
        <row r="46">
          <cell r="A46" t="str">
            <v>1LSD0I7000BYL1N</v>
          </cell>
          <cell r="B46" t="str">
            <v>Denied, customer dimensions meet girth definition for AH</v>
          </cell>
        </row>
        <row r="47">
          <cell r="A47" t="str">
            <v>1LSD0I7000BPE2J</v>
          </cell>
          <cell r="B47" t="str">
            <v>Denied, customer dimensions meet girth definition for AH</v>
          </cell>
        </row>
        <row r="48">
          <cell r="A48" t="str">
            <v>1LSD0I7000C00CW</v>
          </cell>
          <cell r="B48" t="str">
            <v>Denied, dimensions line up with vpod</v>
          </cell>
        </row>
        <row r="49">
          <cell r="A49" t="str">
            <v>1LSD0I7000BWFWI</v>
          </cell>
          <cell r="B49" t="str">
            <v>Denied, dimensions line up with vpod</v>
          </cell>
        </row>
        <row r="50">
          <cell r="A50" t="str">
            <v>1LSD0I7000B402Z</v>
          </cell>
          <cell r="B50" t="str">
            <v>Denied, dimensions line up with vpod</v>
          </cell>
        </row>
        <row r="51">
          <cell r="A51" t="str">
            <v>1LSD0I7000AV9MI</v>
          </cell>
          <cell r="B51" t="str">
            <v>Denied, dimensions line up with vpod</v>
          </cell>
        </row>
        <row r="52">
          <cell r="A52" t="str">
            <v>1LSD0I7000AMDFB</v>
          </cell>
          <cell r="B52" t="str">
            <v>Denied, dimensions line up with vpod</v>
          </cell>
        </row>
        <row r="53">
          <cell r="A53" t="str">
            <v>1LSD0I7000BVCIZ</v>
          </cell>
          <cell r="B53" t="str">
            <v>Denied, dimensions line up with vpod</v>
          </cell>
        </row>
        <row r="54">
          <cell r="A54" t="str">
            <v>1LSD0I7000BMKJ2</v>
          </cell>
          <cell r="B54" t="str">
            <v>Denied, dimensions line up with vpod and meet girth definition for AH</v>
          </cell>
        </row>
        <row r="55">
          <cell r="A55" t="str">
            <v>1LSD0I7000BNKQU</v>
          </cell>
          <cell r="B55" t="str">
            <v>Denied, dimensions line up with vpod</v>
          </cell>
        </row>
        <row r="56">
          <cell r="A56" t="str">
            <v>1LSD0I7000BNJ6J</v>
          </cell>
          <cell r="B56" t="str">
            <v>Denied, dimensions line up with vpod</v>
          </cell>
        </row>
        <row r="57">
          <cell r="A57" t="str">
            <v>1LSD0I7000BML2I</v>
          </cell>
          <cell r="B57" t="str">
            <v>Denied, dimensions line up with vpod and meet girth definition for AH</v>
          </cell>
        </row>
        <row r="58">
          <cell r="A58" t="str">
            <v>1LSD0I7000BKO7G</v>
          </cell>
          <cell r="B58" t="str">
            <v>Denied, dimensions line up with vpod</v>
          </cell>
        </row>
        <row r="59">
          <cell r="A59" t="str">
            <v>1LSD0I7000BWNKG</v>
          </cell>
          <cell r="B59" t="str">
            <v>Denied, outside of dispute period</v>
          </cell>
        </row>
        <row r="60">
          <cell r="A60" t="str">
            <v>1LSD0I7000BWLIA</v>
          </cell>
          <cell r="B60" t="str">
            <v>Denied, dimensions line up with vpod</v>
          </cell>
        </row>
        <row r="61">
          <cell r="A61" t="str">
            <v>1LSD0I7000C059C</v>
          </cell>
          <cell r="B61" t="str">
            <v>Denied, dimensions line up with vpod and meet girth definition for AH</v>
          </cell>
        </row>
        <row r="62">
          <cell r="A62" t="str">
            <v>1LSD0I7000BV81K</v>
          </cell>
          <cell r="B62" t="str">
            <v>Denied, dimensions line up with vpod</v>
          </cell>
        </row>
        <row r="63">
          <cell r="A63" t="str">
            <v>1LSD0I7000BVBS3</v>
          </cell>
          <cell r="B63" t="str">
            <v>Denied, dimensions line up with vpod</v>
          </cell>
        </row>
        <row r="64">
          <cell r="A64" t="str">
            <v>1LSD0I7000C7NOU</v>
          </cell>
          <cell r="B64" t="str">
            <v>Denied, dimensions line up with vpod</v>
          </cell>
        </row>
        <row r="65">
          <cell r="A65" t="str">
            <v>1LSD0I7000AWRT8</v>
          </cell>
          <cell r="B65" t="str">
            <v>Denied, dimensions line up with vpod</v>
          </cell>
        </row>
        <row r="66">
          <cell r="A66" t="str">
            <v>1LSD0I7000B6ZYK</v>
          </cell>
          <cell r="B66" t="str">
            <v>Denied, outside of dispute period</v>
          </cell>
        </row>
        <row r="67">
          <cell r="A67" t="str">
            <v>1LSD0I7000BPI0C</v>
          </cell>
          <cell r="B67" t="str">
            <v>Denied, outside of dispute period</v>
          </cell>
        </row>
        <row r="68">
          <cell r="A68" t="str">
            <v>1LSD0I7000BY3KH</v>
          </cell>
          <cell r="B68" t="str">
            <v>Denied, outside of dispute period</v>
          </cell>
        </row>
        <row r="69">
          <cell r="A69" t="str">
            <v>1LSD0I7000B4AX5</v>
          </cell>
          <cell r="B69" t="str">
            <v>Denied, outside of dispute period</v>
          </cell>
        </row>
        <row r="70">
          <cell r="A70" t="str">
            <v>1LSD0I7000AXSHD</v>
          </cell>
          <cell r="B70" t="str">
            <v>Denied, dimensions line up with vpod</v>
          </cell>
        </row>
        <row r="71">
          <cell r="A71" t="str">
            <v>1LSD0I7000BX2P1</v>
          </cell>
          <cell r="B71" t="str">
            <v>Denied, outside of dispute period</v>
          </cell>
        </row>
        <row r="72">
          <cell r="A72" t="str">
            <v>1LSD0I7000BQTYC</v>
          </cell>
          <cell r="B72" t="str">
            <v>Denied, dimensions line up with vpod</v>
          </cell>
        </row>
        <row r="73">
          <cell r="A73" t="str">
            <v>1LSD0I7000BV0O2</v>
          </cell>
          <cell r="B73" t="str">
            <v>Denied, dimensions line up with vpod</v>
          </cell>
        </row>
        <row r="74">
          <cell r="A74" t="str">
            <v>1LSD0I7000BR247</v>
          </cell>
          <cell r="B74" t="str">
            <v>Denied, dimensions line up with vpod</v>
          </cell>
        </row>
        <row r="75">
          <cell r="A75" t="str">
            <v>1LSD0I7000BQSSM</v>
          </cell>
          <cell r="B75" t="str">
            <v>Denied, outside of dispute period</v>
          </cell>
        </row>
        <row r="76">
          <cell r="A76" t="str">
            <v>1LSD0I7000CKUOB</v>
          </cell>
          <cell r="B76" t="str">
            <v>Denied, dimensions line up with vpod</v>
          </cell>
        </row>
        <row r="77">
          <cell r="A77" t="str">
            <v>1LSD0I7000BZU5T</v>
          </cell>
          <cell r="B77" t="str">
            <v>Denied, dimensions line up with vpod</v>
          </cell>
        </row>
        <row r="78">
          <cell r="A78" t="str">
            <v>1LSD0I7000BX2LL</v>
          </cell>
          <cell r="B78" t="str">
            <v>Denied, dimensions line up with vpod and meet girth definition for AH</v>
          </cell>
        </row>
        <row r="79">
          <cell r="A79" t="str">
            <v>1LSD0I7000AMI79</v>
          </cell>
          <cell r="B79" t="str">
            <v>Denied, dimensions line up with vpod</v>
          </cell>
        </row>
        <row r="80">
          <cell r="A80" t="str">
            <v>1LSD0I7000AXJHL</v>
          </cell>
          <cell r="B80" t="str">
            <v>Denied, dimensions line up with vpod</v>
          </cell>
        </row>
        <row r="81">
          <cell r="A81" t="str">
            <v>1LSD0I7000BFL04</v>
          </cell>
          <cell r="B81" t="str">
            <v>Denied, dimensions line up with vpod</v>
          </cell>
        </row>
        <row r="82">
          <cell r="A82" t="str">
            <v>1LSD0I7000BFOZ9</v>
          </cell>
          <cell r="B82" t="str">
            <v>Denied, outside of dispute period</v>
          </cell>
        </row>
        <row r="83">
          <cell r="A83" t="str">
            <v>1LSD0I7000BUV0K</v>
          </cell>
          <cell r="B83" t="str">
            <v>Denied, outside of dispute period</v>
          </cell>
        </row>
        <row r="84">
          <cell r="A84" t="str">
            <v>1LSD0I7000BFEFB</v>
          </cell>
          <cell r="B84" t="str">
            <v>Denied, outside of dispute period</v>
          </cell>
        </row>
        <row r="85">
          <cell r="A85" t="str">
            <v>1LSD0I7000B5Q5P</v>
          </cell>
          <cell r="B85" t="str">
            <v>Denied, dimensions line up with vpod</v>
          </cell>
        </row>
        <row r="86">
          <cell r="A86" t="str">
            <v>1LSD0I7000B5NKB</v>
          </cell>
          <cell r="B86" t="str">
            <v>Denied, dimensions line up with vpod</v>
          </cell>
        </row>
        <row r="87">
          <cell r="A87" t="str">
            <v>1LSD0I7000AXUV0</v>
          </cell>
          <cell r="B87" t="str">
            <v>Denied, dimensions line up with vpod</v>
          </cell>
        </row>
        <row r="88">
          <cell r="A88" t="str">
            <v>1LSD0I7000ATPXJ</v>
          </cell>
          <cell r="B88" t="str">
            <v>Denied, dimensions line up with vpod</v>
          </cell>
        </row>
        <row r="89">
          <cell r="A89" t="str">
            <v>1LSD0I7000AKS2E</v>
          </cell>
          <cell r="B89" t="str">
            <v>Recalc-Check vpod for AH cust vs measured dims</v>
          </cell>
        </row>
        <row r="90">
          <cell r="A90" t="str">
            <v>1LSD0I7000C78Z8</v>
          </cell>
          <cell r="B90" t="str">
            <v>Denied, outside of dispute period</v>
          </cell>
        </row>
        <row r="91">
          <cell r="A91" t="str">
            <v>1LSD0I7000C5E23</v>
          </cell>
          <cell r="B91" t="str">
            <v>Denied, outside of dispute period</v>
          </cell>
        </row>
        <row r="92">
          <cell r="A92" t="str">
            <v>1LSD0I7000C1GQQ</v>
          </cell>
          <cell r="B92" t="str">
            <v>Denied, dimensions line up with vpod and meet girth definition for AH</v>
          </cell>
        </row>
        <row r="93">
          <cell r="A93" t="str">
            <v>1LSD0I7000C1DSJ</v>
          </cell>
          <cell r="B93" t="str">
            <v>Denied, outside of dispute period</v>
          </cell>
        </row>
        <row r="94">
          <cell r="A94" t="str">
            <v>1LSD0I7000C1BAE</v>
          </cell>
          <cell r="B94" t="str">
            <v>Denied, dimensions line up with vpod</v>
          </cell>
        </row>
        <row r="95">
          <cell r="A95" t="str">
            <v>1LSD0I7000C18PS</v>
          </cell>
          <cell r="B95" t="str">
            <v>Denied, dimensions line up with vpod</v>
          </cell>
        </row>
        <row r="96">
          <cell r="A96" t="str">
            <v>1LSD0I7000BMFKS</v>
          </cell>
          <cell r="B96" t="str">
            <v>Denied, outside of dispute period</v>
          </cell>
        </row>
        <row r="97">
          <cell r="A97" t="str">
            <v>1LSD0I7000CC87I</v>
          </cell>
          <cell r="B97" t="str">
            <v>Denied, dimensions line up with vpod</v>
          </cell>
        </row>
        <row r="98">
          <cell r="A98" t="str">
            <v>1LSD0I7000D2AH5</v>
          </cell>
          <cell r="B98" t="str">
            <v>Denied, billed on customer dimensions</v>
          </cell>
        </row>
        <row r="99">
          <cell r="A99" t="str">
            <v>1LSD0I7000DBTK0</v>
          </cell>
          <cell r="B99" t="str">
            <v>Denied, billed on customer dimensions</v>
          </cell>
        </row>
        <row r="100">
          <cell r="A100" t="str">
            <v>1LSD0I7000DRZ19</v>
          </cell>
          <cell r="B100" t="str">
            <v>Denied, billed on customer dimensions</v>
          </cell>
        </row>
        <row r="101">
          <cell r="A101" t="str">
            <v>1LSD0I7000CWRWM</v>
          </cell>
          <cell r="B101" t="str">
            <v>Denied, billed on customer dimensions</v>
          </cell>
        </row>
        <row r="102">
          <cell r="A102" t="str">
            <v>1LSD0I7000CWLTM</v>
          </cell>
          <cell r="B102" t="str">
            <v>Denied, billed on customer dimensions</v>
          </cell>
        </row>
        <row r="103">
          <cell r="A103" t="str">
            <v>1LSD0I7000CWF8A</v>
          </cell>
          <cell r="B103" t="str">
            <v>Denied, billed on customer dimensions</v>
          </cell>
        </row>
        <row r="104">
          <cell r="A104" t="str">
            <v>1LSD0I7000C8XXF</v>
          </cell>
          <cell r="B104" t="str">
            <v>Denied, billed on customer dimensions</v>
          </cell>
        </row>
        <row r="105">
          <cell r="A105" t="str">
            <v>1LSD0I7000D2783</v>
          </cell>
          <cell r="B105" t="str">
            <v>Denied, billed on customer dimensions</v>
          </cell>
        </row>
        <row r="106">
          <cell r="A106" t="str">
            <v>1LSD0I7000D01R7</v>
          </cell>
          <cell r="B106" t="str">
            <v>Denied, billed on customer dimensions</v>
          </cell>
        </row>
        <row r="107">
          <cell r="A107" t="str">
            <v>1LSD0I7000CUP6Q</v>
          </cell>
          <cell r="B107" t="str">
            <v>Denied, billed on customer dimensions</v>
          </cell>
        </row>
        <row r="108">
          <cell r="A108" t="str">
            <v>1LSD0I7000CWT3C</v>
          </cell>
          <cell r="B108" t="str">
            <v>Denied, billed on customer dimensions</v>
          </cell>
        </row>
        <row r="109">
          <cell r="A109" t="str">
            <v>1LSD0I7000CYTIL</v>
          </cell>
          <cell r="B109" t="str">
            <v>Denied, billed on customer dimensions</v>
          </cell>
        </row>
        <row r="110">
          <cell r="A110" t="str">
            <v>1LSD0I7000CYUT1</v>
          </cell>
          <cell r="B110" t="str">
            <v>Denied, billed on customer dimensions</v>
          </cell>
        </row>
        <row r="111">
          <cell r="A111" t="str">
            <v>1LSD0I7000DE2V6</v>
          </cell>
          <cell r="B111" t="str">
            <v>Denied, billed on customer dimensions</v>
          </cell>
        </row>
        <row r="112">
          <cell r="A112" t="str">
            <v>1LSD0I7000DE2VV</v>
          </cell>
          <cell r="B112" t="str">
            <v>Denied, billed on customer dimensions</v>
          </cell>
        </row>
        <row r="113">
          <cell r="A113" t="str">
            <v>1LSD0I7000CNJAV</v>
          </cell>
          <cell r="B113" t="str">
            <v>Denied, billed on customer dimensions</v>
          </cell>
        </row>
        <row r="114">
          <cell r="A114" t="str">
            <v>1LSD0I7000CNCOU</v>
          </cell>
          <cell r="B114" t="str">
            <v>Denied, billed on customer dimensions</v>
          </cell>
        </row>
        <row r="115">
          <cell r="A115" t="str">
            <v>1LSD0I7000CNK23</v>
          </cell>
          <cell r="B115" t="str">
            <v>Denied, billed on customer dimensions</v>
          </cell>
        </row>
        <row r="116">
          <cell r="A116" t="str">
            <v>1LSD0I7000DB47J</v>
          </cell>
          <cell r="B116" t="str">
            <v>Denied, billed on customer dimensions</v>
          </cell>
        </row>
        <row r="117">
          <cell r="A117" t="str">
            <v>1LSD0I7000D1X9S</v>
          </cell>
          <cell r="B117" t="str">
            <v>Denied, billed on customer dimensions</v>
          </cell>
        </row>
        <row r="118">
          <cell r="A118" t="str">
            <v>1LSD0I7000D904Z</v>
          </cell>
          <cell r="B118" t="str">
            <v>Denied, billed on customer dimensions</v>
          </cell>
        </row>
        <row r="119">
          <cell r="A119" t="str">
            <v>1LSD0I7000D9188</v>
          </cell>
          <cell r="B119" t="str">
            <v>Denied, billed on customer dimensions</v>
          </cell>
        </row>
        <row r="120">
          <cell r="A120" t="str">
            <v>1LSD0I7000DDCL0</v>
          </cell>
          <cell r="B120" t="str">
            <v>Denied, billed on customer dimensions</v>
          </cell>
        </row>
        <row r="121">
          <cell r="A121" t="str">
            <v>1LSD0I7000DDUCH</v>
          </cell>
          <cell r="B121" t="str">
            <v>Denied, billed on customer dimensions</v>
          </cell>
        </row>
        <row r="122">
          <cell r="A122" t="str">
            <v>1LSD0I7000D6W96</v>
          </cell>
          <cell r="B122" t="str">
            <v>Denied, billed on customer dimensions</v>
          </cell>
        </row>
        <row r="123">
          <cell r="A123" t="str">
            <v>1LSD0I7000CYEDN</v>
          </cell>
          <cell r="B123" t="str">
            <v>Denied, billed on customer dimensions</v>
          </cell>
        </row>
        <row r="124">
          <cell r="A124" t="str">
            <v>1LSD0I7000CN0BP</v>
          </cell>
          <cell r="B124" t="str">
            <v>Denied, billed on customer dimensions</v>
          </cell>
        </row>
        <row r="125">
          <cell r="A125" t="str">
            <v>1LSD0I7000CN0A8</v>
          </cell>
          <cell r="B125" t="str">
            <v>Denied, billed on customer dimensions</v>
          </cell>
        </row>
        <row r="126">
          <cell r="A126" t="str">
            <v>1LSD0I7000CN03G</v>
          </cell>
          <cell r="B126" t="str">
            <v>Denied, billed on customer dimensions</v>
          </cell>
        </row>
        <row r="127">
          <cell r="A127" t="str">
            <v>1LSD0I7000C9IKT</v>
          </cell>
          <cell r="B127" t="str">
            <v>Denied, billed on customer dimensions</v>
          </cell>
        </row>
        <row r="128">
          <cell r="A128" t="str">
            <v>1LSD0I7000CMWX4</v>
          </cell>
          <cell r="B128" t="str">
            <v>Denied, billed on customer dimensions</v>
          </cell>
        </row>
        <row r="129">
          <cell r="A129" t="str">
            <v>1LSD0I7000DGC3X</v>
          </cell>
          <cell r="B129" t="str">
            <v>Denied, billed on customer dimensions</v>
          </cell>
        </row>
        <row r="130">
          <cell r="A130" t="str">
            <v>1LSD0I7000CY6OF</v>
          </cell>
          <cell r="B130" t="str">
            <v>Denied, billed on customer dimensions</v>
          </cell>
        </row>
        <row r="131">
          <cell r="A131" t="str">
            <v>1LSD0I7000DMFT4</v>
          </cell>
          <cell r="B131" t="str">
            <v>Denied, customer dimensions meet girth definition for AH</v>
          </cell>
        </row>
        <row r="132">
          <cell r="A132" t="str">
            <v>1LSD0I7000DMGPW</v>
          </cell>
          <cell r="B132" t="str">
            <v>Denied, customer dimensions meet girth definition for AH</v>
          </cell>
        </row>
        <row r="133">
          <cell r="A133" t="str">
            <v>1LSD0I7000CULWH</v>
          </cell>
          <cell r="B133" t="str">
            <v>Denied, customer dimensions meet girth definition for AH</v>
          </cell>
        </row>
        <row r="134">
          <cell r="A134" t="str">
            <v>1LSD0I7000CWDK2</v>
          </cell>
          <cell r="B134" t="str">
            <v>Denied, customer dimensions meet girth definition for AH</v>
          </cell>
        </row>
        <row r="135">
          <cell r="A135" t="str">
            <v>1LSD0I7000CUOT5</v>
          </cell>
          <cell r="B135" t="str">
            <v>Denied, customer dimensions meet girth definition for AH</v>
          </cell>
        </row>
        <row r="136">
          <cell r="A136" t="str">
            <v>1LSD0I7000D7IQE</v>
          </cell>
          <cell r="B136" t="str">
            <v>Denied, customer dimensions meet girth definition for AH</v>
          </cell>
        </row>
        <row r="137">
          <cell r="A137" t="str">
            <v>1LSD0I7000D1Q6G</v>
          </cell>
          <cell r="B137" t="str">
            <v>Denied, customer dimensions meet girth definition for AH</v>
          </cell>
        </row>
        <row r="138">
          <cell r="A138" t="str">
            <v>1LSD0I7000CYVPZ</v>
          </cell>
          <cell r="B138" t="str">
            <v>Denied, customer dimensions meet girth definition for AH</v>
          </cell>
        </row>
        <row r="139">
          <cell r="A139" t="str">
            <v>1LSD0I7000CP4IU</v>
          </cell>
          <cell r="B139" t="str">
            <v>Denied, customer dimensions meet girth definition for AH</v>
          </cell>
        </row>
        <row r="140">
          <cell r="A140" t="str">
            <v>1LSD0I7000CNCWX</v>
          </cell>
          <cell r="B140" t="str">
            <v>Denied, customer dimensions meet girth definition for AH</v>
          </cell>
        </row>
        <row r="141">
          <cell r="A141" t="str">
            <v>1LSD0I7000CPBUK</v>
          </cell>
          <cell r="B141" t="str">
            <v>Denied, customer dimensions meet girth definition for AH</v>
          </cell>
        </row>
        <row r="142">
          <cell r="A142" t="str">
            <v>1LSD0I7000D91R6</v>
          </cell>
          <cell r="B142" t="str">
            <v>Denied, customer dimensions meet girth definition for AH</v>
          </cell>
        </row>
        <row r="143">
          <cell r="A143" t="str">
            <v>1LSD0I7000D8ZPP</v>
          </cell>
          <cell r="B143" t="str">
            <v>Denied, customer dimensions meet girth definition for AH</v>
          </cell>
        </row>
        <row r="144">
          <cell r="A144" t="str">
            <v>1LSD0I7000D8LNI</v>
          </cell>
          <cell r="B144" t="str">
            <v>Denied, customer dimensions meet girth definition for AH</v>
          </cell>
        </row>
        <row r="145">
          <cell r="A145" t="str">
            <v>1LSD0I7000C96QY</v>
          </cell>
          <cell r="B145" t="str">
            <v>Denied, billed on customer weight</v>
          </cell>
        </row>
        <row r="146">
          <cell r="A146" t="str">
            <v>1LSD0I7000CPDZF</v>
          </cell>
          <cell r="B146" t="str">
            <v>Denied, customer dimensions meet girth definition for AH</v>
          </cell>
        </row>
        <row r="147">
          <cell r="A147" t="str">
            <v>1LSD0I7000CQMYB</v>
          </cell>
          <cell r="B147" t="str">
            <v>Denied, customer dimensions meet girth definition for AH</v>
          </cell>
        </row>
        <row r="148">
          <cell r="A148" t="str">
            <v>1LSD0I7000D73FA</v>
          </cell>
          <cell r="B148" t="str">
            <v>Denied, customer dimensions meet girth definition for AH</v>
          </cell>
        </row>
        <row r="149">
          <cell r="A149" t="str">
            <v>1LSD0I7000D7C2K</v>
          </cell>
          <cell r="B149" t="str">
            <v>Denied, customer dimensions meet girth definition for AH</v>
          </cell>
        </row>
        <row r="150">
          <cell r="A150" t="str">
            <v>1LSD0I7000CUU83</v>
          </cell>
          <cell r="B150" t="str">
            <v>Denied, customer dimensions meet girth definition for AH</v>
          </cell>
        </row>
        <row r="151">
          <cell r="A151" t="str">
            <v>1LSD0I7000CQJSE</v>
          </cell>
          <cell r="B151" t="str">
            <v>Denied, customer dimensions meet girth definition for AH</v>
          </cell>
        </row>
        <row r="152">
          <cell r="A152" t="str">
            <v>1LSD0I7000DGC7C</v>
          </cell>
          <cell r="B152" t="str">
            <v>Denied, dimensions line up with vpod</v>
          </cell>
        </row>
        <row r="153">
          <cell r="A153" t="str">
            <v>1LSD0I7000D0L1E</v>
          </cell>
          <cell r="B153" t="str">
            <v>Denied, dimensions line up with vpod</v>
          </cell>
        </row>
        <row r="154">
          <cell r="A154" t="str">
            <v>1LSD0I7000D0DK1</v>
          </cell>
          <cell r="B154" t="str">
            <v>Denied, dimensions line up with vpod</v>
          </cell>
        </row>
        <row r="155">
          <cell r="A155" t="str">
            <v>1LSD0I7000D0C0V</v>
          </cell>
          <cell r="B155" t="str">
            <v>Denied, dimensions line up with vpod</v>
          </cell>
        </row>
        <row r="156">
          <cell r="A156" t="str">
            <v>1LSD0I7000CVQT9</v>
          </cell>
          <cell r="B156" t="str">
            <v>Denied, dimensions line up with vpod</v>
          </cell>
        </row>
        <row r="157">
          <cell r="A157" t="str">
            <v>1LSD0I7000CYO41</v>
          </cell>
          <cell r="B157" t="str">
            <v>Denied, dimensions line up with vpod</v>
          </cell>
        </row>
        <row r="158">
          <cell r="A158" t="str">
            <v>1LSD0I7000DM9LI</v>
          </cell>
          <cell r="B158" t="str">
            <v>Denied, dimensions line up with vpod</v>
          </cell>
        </row>
        <row r="159">
          <cell r="A159" t="str">
            <v>1LSD0I7000DQ0BL</v>
          </cell>
          <cell r="B159" t="str">
            <v>Denied, dimensions line up with vpod</v>
          </cell>
        </row>
        <row r="160">
          <cell r="A160" t="str">
            <v>1LSD0I7000DDLH1</v>
          </cell>
          <cell r="B160" t="str">
            <v>Denied, dimensions line up with vpod</v>
          </cell>
        </row>
        <row r="161">
          <cell r="A161" t="str">
            <v>1LSD0I7000DDNWX</v>
          </cell>
          <cell r="B161" t="str">
            <v>Denied, dimensions line up with vpod</v>
          </cell>
        </row>
        <row r="162">
          <cell r="A162" t="str">
            <v>1LSD0I7000DCYO4</v>
          </cell>
          <cell r="B162" t="str">
            <v>Denied, dimensions line up with vpod</v>
          </cell>
        </row>
        <row r="163">
          <cell r="A163" t="str">
            <v>1LSD0I7000DE20B</v>
          </cell>
          <cell r="B163" t="str">
            <v>Denied, dimensions line up with vpod</v>
          </cell>
        </row>
        <row r="164">
          <cell r="A164" t="str">
            <v>1LSD0I7000CN9K6</v>
          </cell>
          <cell r="B164" t="str">
            <v>Denied, dimensions line up with vpod</v>
          </cell>
        </row>
        <row r="165">
          <cell r="A165" t="str">
            <v>1LSD0I7000DNETC</v>
          </cell>
          <cell r="B165" t="str">
            <v>Denied, dimensions line up with vpod</v>
          </cell>
        </row>
        <row r="166">
          <cell r="A166" t="str">
            <v>1LSD0I7000DQBEL</v>
          </cell>
          <cell r="B166" t="str">
            <v>Denied, dimensions line up with vpod</v>
          </cell>
        </row>
        <row r="167">
          <cell r="A167" t="str">
            <v>1LSD0I7000CQ4RW</v>
          </cell>
          <cell r="B167" t="str">
            <v>Denied, dimensions line up with vpod and meet girth definition for AH</v>
          </cell>
        </row>
        <row r="168">
          <cell r="A168" t="str">
            <v>1LSD0I7000CP95J</v>
          </cell>
          <cell r="B168" t="str">
            <v>Denied, dimensions line up with vpod</v>
          </cell>
        </row>
        <row r="169">
          <cell r="A169" t="str">
            <v>1LSD0I7000CP5MS</v>
          </cell>
          <cell r="B169" t="str">
            <v>Denied, dimensions line up with vpod</v>
          </cell>
        </row>
        <row r="170">
          <cell r="A170" t="str">
            <v>1LSD0I7000CP5K9</v>
          </cell>
          <cell r="B170" t="str">
            <v>Denied, dimensions line up with vpod</v>
          </cell>
        </row>
        <row r="171">
          <cell r="A171" t="str">
            <v>1LSD0I7000CP5IH</v>
          </cell>
          <cell r="B171" t="str">
            <v>Denied, dimensions line up with vpod and meet girth definition for AH</v>
          </cell>
        </row>
        <row r="172">
          <cell r="A172" t="str">
            <v>1LSD0I7000CP5FQ</v>
          </cell>
          <cell r="B172" t="str">
            <v>Denied, dimensions line up with vpod and meet girth definition for AH</v>
          </cell>
        </row>
        <row r="173">
          <cell r="A173" t="str">
            <v>1LSD0I7000D8EK8</v>
          </cell>
          <cell r="B173" t="str">
            <v>Denied, dimensions line up with vpod</v>
          </cell>
        </row>
        <row r="174">
          <cell r="A174" t="str">
            <v>1LSD0I7000D8EIS</v>
          </cell>
          <cell r="B174" t="str">
            <v>Denied, dimensions line up with vpod</v>
          </cell>
        </row>
        <row r="175">
          <cell r="A175" t="str">
            <v>1LSD0I7000DBCCL</v>
          </cell>
          <cell r="B175" t="str">
            <v>Denied, dimensions line up with vpod</v>
          </cell>
        </row>
        <row r="176">
          <cell r="A176" t="str">
            <v>1LSD0I7000CJOT7</v>
          </cell>
          <cell r="B176" t="str">
            <v>Denied, dimensions line up with vpod and meet girth definition for AH</v>
          </cell>
        </row>
        <row r="177">
          <cell r="A177" t="str">
            <v>1LSD0I7000CWLV2</v>
          </cell>
          <cell r="B177" t="str">
            <v>Denied, dimensions line up with vpod</v>
          </cell>
        </row>
        <row r="178">
          <cell r="A178" t="str">
            <v>1LSD0I7000DS3B5</v>
          </cell>
          <cell r="B178" t="str">
            <v>Denied, dimensions line up with vpod</v>
          </cell>
        </row>
        <row r="179">
          <cell r="A179" t="str">
            <v>1LSD0I7000DS507</v>
          </cell>
          <cell r="B179" t="str">
            <v>Denied, dimensions line up with vpod</v>
          </cell>
        </row>
        <row r="180">
          <cell r="A180" t="str">
            <v>1LSD0I7000DS5MG</v>
          </cell>
          <cell r="B180" t="str">
            <v>Denied, dimensions line up with vpod</v>
          </cell>
        </row>
        <row r="181">
          <cell r="A181" t="str">
            <v>1LSD0I7000DSAJD</v>
          </cell>
          <cell r="B181" t="str">
            <v>Denied, dimensions line up with vpod</v>
          </cell>
        </row>
        <row r="182">
          <cell r="A182" t="str">
            <v>1LSD0I7000DFUA0</v>
          </cell>
          <cell r="B182" t="str">
            <v>Denied, dimensions line up with vpod</v>
          </cell>
        </row>
        <row r="183">
          <cell r="A183" t="str">
            <v>1LSD0I7000DMGOZ</v>
          </cell>
          <cell r="B183" t="str">
            <v>Denied, dimensions line up with vpod</v>
          </cell>
        </row>
        <row r="184">
          <cell r="A184" t="str">
            <v>1LSD0I7000DBEKW</v>
          </cell>
          <cell r="B184" t="str">
            <v>Denied, dimensions line up with vpod</v>
          </cell>
        </row>
        <row r="185">
          <cell r="A185" t="str">
            <v>1LSD0I7000DBHPV</v>
          </cell>
          <cell r="B185" t="str">
            <v>Denied, dimensions line up with vpod and meet girth definition for AH</v>
          </cell>
        </row>
        <row r="186">
          <cell r="A186" t="str">
            <v>1LSD0I7000DBI6C</v>
          </cell>
          <cell r="B186" t="str">
            <v>Denied, dimensions line up with vpod</v>
          </cell>
        </row>
        <row r="187">
          <cell r="A187" t="str">
            <v>1LSD0I7000DBLKJ</v>
          </cell>
          <cell r="B187" t="str">
            <v>Denied, dimensions line up with vpod</v>
          </cell>
        </row>
        <row r="188">
          <cell r="A188" t="str">
            <v>1LSD0I7000DBR0U</v>
          </cell>
          <cell r="B188" t="str">
            <v>Denied, dimensions line up with vpod and meet girth definition for AH</v>
          </cell>
        </row>
        <row r="189">
          <cell r="A189" t="str">
            <v>1LSD0I7000CPC86</v>
          </cell>
          <cell r="B189" t="str">
            <v>Denied, dimensions line up with vpod</v>
          </cell>
        </row>
        <row r="190">
          <cell r="A190" t="str">
            <v>1LSD0I7000CYRT4</v>
          </cell>
          <cell r="B190" t="str">
            <v>Denied, dimensions line up with vpod</v>
          </cell>
        </row>
        <row r="191">
          <cell r="A191" t="str">
            <v>1LSD0I7000DSQJS</v>
          </cell>
          <cell r="B191" t="str">
            <v>Denied, billed on customer dimensions</v>
          </cell>
        </row>
        <row r="192">
          <cell r="A192" t="str">
            <v>1LSD0I7000DPM3Q</v>
          </cell>
          <cell r="B192" t="str">
            <v>Denied, billed on customer dimensions</v>
          </cell>
        </row>
        <row r="193">
          <cell r="A193" t="str">
            <v>1LSD0I7000DS0SF</v>
          </cell>
          <cell r="B193" t="str">
            <v>Denied, billed on customer dimensions</v>
          </cell>
        </row>
        <row r="194">
          <cell r="A194" t="str">
            <v>1LSD0I7000DNCNA</v>
          </cell>
          <cell r="B194" t="str">
            <v>Denied, billed on customer dimensions</v>
          </cell>
        </row>
        <row r="195">
          <cell r="A195" t="str">
            <v>1LSD0I7000DQ6QT</v>
          </cell>
          <cell r="B195" t="str">
            <v>Denied, billed on customer dimensions</v>
          </cell>
        </row>
        <row r="196">
          <cell r="A196" t="str">
            <v>1LSD0I7000DWSYY</v>
          </cell>
          <cell r="B196" t="str">
            <v>Denied, billed on customer dimensions</v>
          </cell>
        </row>
        <row r="197">
          <cell r="A197" t="str">
            <v>1LSD0I7000DBPL8</v>
          </cell>
          <cell r="B197" t="str">
            <v>Denied, billed on customer dimensions</v>
          </cell>
        </row>
        <row r="198">
          <cell r="A198" t="str">
            <v>1LSD0I7000DRVJO</v>
          </cell>
          <cell r="B198" t="str">
            <v>Denied, billed on customer dimensions</v>
          </cell>
        </row>
        <row r="199">
          <cell r="A199" t="str">
            <v>1LSD0I7000DBMFA</v>
          </cell>
          <cell r="B199" t="str">
            <v>Denied, dimensions line up with vpod</v>
          </cell>
        </row>
        <row r="200">
          <cell r="A200" t="str">
            <v>1LSD0I7000DFC1D</v>
          </cell>
          <cell r="B200" t="str">
            <v>Denied, dimensions line up with vpod</v>
          </cell>
        </row>
        <row r="201">
          <cell r="A201" t="str">
            <v>1LSD0I7000DMREZ</v>
          </cell>
          <cell r="B201" t="str">
            <v>Denied, dimensions line up with vpod</v>
          </cell>
        </row>
        <row r="202">
          <cell r="A202" t="str">
            <v>1LSD0I7000DSPBR</v>
          </cell>
          <cell r="B202" t="str">
            <v>Denied, dimensions line up with vpod</v>
          </cell>
        </row>
        <row r="203">
          <cell r="A203" t="str">
            <v>1LSD0I7000DWT63</v>
          </cell>
          <cell r="B203" t="str">
            <v>Denied, dimensions line up with vpod</v>
          </cell>
        </row>
        <row r="204">
          <cell r="A204" t="str">
            <v>1LSD0I7000DX1ZG</v>
          </cell>
          <cell r="B204" t="str">
            <v>Denied, dimensions line up with vpod</v>
          </cell>
        </row>
        <row r="205">
          <cell r="A205" t="str">
            <v>1LSD0I7000DX283</v>
          </cell>
          <cell r="B205" t="str">
            <v>Denied, dimensions line up with vpod</v>
          </cell>
        </row>
        <row r="206">
          <cell r="A206" t="str">
            <v>1LSD0I7000EGJFV</v>
          </cell>
          <cell r="B206" t="str">
            <v>Denied, dimensions line up with vpod</v>
          </cell>
        </row>
        <row r="207">
          <cell r="A207" t="str">
            <v>1LSD0I7000EWVSH</v>
          </cell>
          <cell r="B207" t="str">
            <v>Denied, dimensions line up with vpod and meet girth definition for AH</v>
          </cell>
        </row>
        <row r="208">
          <cell r="A208" t="str">
            <v>1LSD0I7000EWWR5</v>
          </cell>
          <cell r="B208" t="str">
            <v>Denied, dimensions line up with vpod</v>
          </cell>
        </row>
        <row r="209">
          <cell r="A209" t="str">
            <v>1LSD0I7000DM6FM</v>
          </cell>
          <cell r="B209" t="str">
            <v>Denied, dimensions line up with vpod</v>
          </cell>
        </row>
        <row r="210">
          <cell r="A210" t="str">
            <v>1LSD0I7000DUANQ</v>
          </cell>
          <cell r="B210" t="str">
            <v>Denied, dimensions line up with vpod</v>
          </cell>
        </row>
        <row r="211">
          <cell r="A211" t="str">
            <v>1LSD0I7000DUN4J</v>
          </cell>
          <cell r="B211" t="str">
            <v>Denied, dimensions line up with vpod and meet girth definition for AH</v>
          </cell>
        </row>
        <row r="212">
          <cell r="A212" t="str">
            <v>1LSD0I7000DUNEX</v>
          </cell>
          <cell r="B212" t="str">
            <v>Denied, dimensions line up with vpod and meet girth definition for AH</v>
          </cell>
        </row>
        <row r="213">
          <cell r="A213" t="str">
            <v>1LSD0I7000E6M7Z</v>
          </cell>
          <cell r="B213" t="str">
            <v>Denied, dimensions line up with vpod</v>
          </cell>
        </row>
        <row r="214">
          <cell r="A214" t="str">
            <v>1LSD0I7000E9PLL</v>
          </cell>
          <cell r="B214" t="str">
            <v>Denied, dimensions line up with vpod</v>
          </cell>
        </row>
        <row r="215">
          <cell r="A215" t="str">
            <v>1LSD0I7000E9Q7Y</v>
          </cell>
          <cell r="B215" t="str">
            <v>Denied, dimensions line up with vpod</v>
          </cell>
        </row>
        <row r="216">
          <cell r="A216" t="str">
            <v>1LSD0I7000E9XBF</v>
          </cell>
          <cell r="B216" t="str">
            <v>Denied, dimensions line up with vpod and meet girth definition for AH</v>
          </cell>
        </row>
        <row r="217">
          <cell r="A217" t="str">
            <v>1LSD0I7000E9ZAT</v>
          </cell>
          <cell r="B217" t="str">
            <v>Denied, dimensions line up with vpod</v>
          </cell>
        </row>
        <row r="218">
          <cell r="A218" t="str">
            <v>1LSD0I7000ECT15</v>
          </cell>
          <cell r="B218" t="str">
            <v>Denied, dimensions line up with vpod and meet girth definition for AH</v>
          </cell>
        </row>
        <row r="219">
          <cell r="A219" t="str">
            <v>1LSD0I7000E9WMU</v>
          </cell>
          <cell r="B219" t="str">
            <v>Denied, dimensions line up with vpod</v>
          </cell>
        </row>
        <row r="220">
          <cell r="A220" t="str">
            <v>1LSD0I7000ECDNV</v>
          </cell>
          <cell r="B220" t="str">
            <v>Denied, dimensions line up with vpod</v>
          </cell>
        </row>
        <row r="221">
          <cell r="A221" t="str">
            <v>1LSD0I7000EANBO</v>
          </cell>
          <cell r="B221" t="str">
            <v>Denied, dimensions line up with vpod</v>
          </cell>
        </row>
        <row r="222">
          <cell r="A222" t="str">
            <v>1LSD0I7000EAPFP</v>
          </cell>
          <cell r="B222" t="str">
            <v>Denied, dimensions line up with vpod</v>
          </cell>
        </row>
        <row r="223">
          <cell r="A223" t="str">
            <v>1LSD0I7000ECSQ2</v>
          </cell>
          <cell r="B223" t="str">
            <v>Denied, dimensions line up with vpod</v>
          </cell>
        </row>
        <row r="224">
          <cell r="A224" t="str">
            <v>1LSD0I7000ECTNV</v>
          </cell>
          <cell r="B224" t="str">
            <v>Denied, dimensions line up with vpod and meet girth definition for AH</v>
          </cell>
        </row>
        <row r="225">
          <cell r="A225" t="str">
            <v>1LSD0I7000EFSPY</v>
          </cell>
          <cell r="B225" t="str">
            <v>Denied, dimensions line up with vpod and meet girth definition for AH</v>
          </cell>
        </row>
        <row r="226">
          <cell r="A226" t="str">
            <v>1LSD0I7000EOTSP</v>
          </cell>
          <cell r="B226" t="str">
            <v>Denied, dimensions line up with vpod</v>
          </cell>
        </row>
        <row r="227">
          <cell r="A227" t="str">
            <v>1LSD0I7000EOI0J</v>
          </cell>
          <cell r="B227" t="str">
            <v>Denied, dimensions line up with vpod</v>
          </cell>
        </row>
        <row r="228">
          <cell r="A228" t="str">
            <v>1LSD0I7000ERSIQ</v>
          </cell>
          <cell r="B228" t="str">
            <v>Denied, dimensions line up with vpod</v>
          </cell>
        </row>
        <row r="229">
          <cell r="A229" t="str">
            <v>1LSD0I7000ERXQR</v>
          </cell>
          <cell r="B229" t="str">
            <v>Denied, dimensions line up with vpod</v>
          </cell>
        </row>
        <row r="230">
          <cell r="A230" t="str">
            <v>1LSD0I7000DS6EP</v>
          </cell>
          <cell r="B230" t="str">
            <v>Denied, dimensions line up with vpod</v>
          </cell>
        </row>
        <row r="231">
          <cell r="A231" t="str">
            <v>1LSD0I7000DWE9C</v>
          </cell>
          <cell r="B231" t="str">
            <v>Denied, dimensions line up with vpod</v>
          </cell>
        </row>
        <row r="232">
          <cell r="A232" t="str">
            <v>1LSD0I7000DWEIQ</v>
          </cell>
          <cell r="B232" t="str">
            <v>Denied, dimensions line up with vpod</v>
          </cell>
        </row>
        <row r="233">
          <cell r="A233" t="str">
            <v>1LSD0I7000DWFK5</v>
          </cell>
          <cell r="B233" t="str">
            <v>Denied, dimensions line up with vpod</v>
          </cell>
        </row>
        <row r="234">
          <cell r="A234" t="str">
            <v>1LSD0I7000DWIBU</v>
          </cell>
          <cell r="B234" t="str">
            <v>Denied, dimensions line up with vpod and meet girth definition for AH</v>
          </cell>
        </row>
        <row r="235">
          <cell r="A235" t="str">
            <v>1LSD0I7000DWLRO</v>
          </cell>
          <cell r="B235" t="str">
            <v>Denied, dimensions line up with vpod</v>
          </cell>
        </row>
        <row r="236">
          <cell r="A236" t="str">
            <v>1LSD0I7000DWQ4T</v>
          </cell>
          <cell r="B236" t="str">
            <v>Denied, dimensions line up with vpod</v>
          </cell>
        </row>
        <row r="237">
          <cell r="A237" t="str">
            <v>1LSD0I7000DWQNX</v>
          </cell>
          <cell r="B237" t="str">
            <v>Denied, dimensions line up with vpod</v>
          </cell>
        </row>
        <row r="238">
          <cell r="A238" t="str">
            <v>1LSD0I7000DWSRU</v>
          </cell>
          <cell r="B238" t="str">
            <v>Denied, dimensions line up with vpod and meet girth definition for AH</v>
          </cell>
        </row>
        <row r="239">
          <cell r="A239" t="str">
            <v>1LSD0I7000DPGEB</v>
          </cell>
          <cell r="B239" t="str">
            <v>Denied, dimensions line up with vpod</v>
          </cell>
        </row>
        <row r="240">
          <cell r="A240" t="str">
            <v>1LSD0I7000DPN27</v>
          </cell>
          <cell r="B240" t="str">
            <v>Denied, dimensions line up with vpod</v>
          </cell>
        </row>
        <row r="241">
          <cell r="A241" t="str">
            <v>1LSD0I7000DPPPE</v>
          </cell>
          <cell r="B241" t="str">
            <v>Denied, dimensions line up with vpod</v>
          </cell>
        </row>
        <row r="242">
          <cell r="A242" t="str">
            <v>1LSD0I7000DQ2RB</v>
          </cell>
          <cell r="B242" t="str">
            <v>Denied, dimensions line up with vpod</v>
          </cell>
        </row>
        <row r="243">
          <cell r="A243" t="str">
            <v>1LSD0I7000DV1NP</v>
          </cell>
          <cell r="B243" t="str">
            <v>Denied, dimensions line up with vpod</v>
          </cell>
        </row>
        <row r="244">
          <cell r="A244" t="str">
            <v>1LSD0I7000DV1W1</v>
          </cell>
          <cell r="B244" t="str">
            <v>Denied, dimensions line up with vpod</v>
          </cell>
        </row>
        <row r="245">
          <cell r="A245" t="str">
            <v>1LSD0I7000DV696</v>
          </cell>
          <cell r="B245" t="str">
            <v>Denied, dimensions line up with vpod</v>
          </cell>
        </row>
        <row r="246">
          <cell r="A246" t="str">
            <v>1LSD0I7000DV6WY</v>
          </cell>
          <cell r="B246" t="str">
            <v>Denied, dimensions line up with vpod</v>
          </cell>
        </row>
        <row r="247">
          <cell r="A247" t="str">
            <v>1LSD0I7000DV901</v>
          </cell>
          <cell r="B247" t="str">
            <v>Denied, dimensions line up with vpod</v>
          </cell>
        </row>
        <row r="248">
          <cell r="A248" t="str">
            <v>1LSD0I7000EO3O5</v>
          </cell>
          <cell r="B248" t="str">
            <v>Denied, dimensions line up with vpod</v>
          </cell>
        </row>
        <row r="249">
          <cell r="A249" t="str">
            <v>1LSD0I7000EU4TE</v>
          </cell>
          <cell r="B249" t="str">
            <v>Denied, dimensions line up with vpod</v>
          </cell>
        </row>
        <row r="250">
          <cell r="A250" t="str">
            <v>1LSD0I7000EUJQH</v>
          </cell>
          <cell r="B250" t="str">
            <v>Denied, dimensions line up with vpod</v>
          </cell>
        </row>
        <row r="251">
          <cell r="A251" t="str">
            <v>1LSD0I7000DX7KV</v>
          </cell>
          <cell r="B251" t="str">
            <v>Denied, dimensions line up with vpod</v>
          </cell>
        </row>
        <row r="252">
          <cell r="A252" t="str">
            <v>1LSD0I7000DXOHP</v>
          </cell>
          <cell r="B252" t="str">
            <v>Denied, dimensions line up with vpod</v>
          </cell>
        </row>
        <row r="253">
          <cell r="A253" t="str">
            <v>1LSD0I7000E7FL5</v>
          </cell>
          <cell r="B253" t="str">
            <v>Denied, dimensions line up with vpod</v>
          </cell>
        </row>
        <row r="254">
          <cell r="A254" t="str">
            <v>1LSD0I7000EAK19</v>
          </cell>
          <cell r="B254" t="str">
            <v>Denied, dimensions line up with vpod</v>
          </cell>
        </row>
        <row r="255">
          <cell r="A255" t="str">
            <v>1LSD0I7000EAKI0</v>
          </cell>
          <cell r="B255" t="str">
            <v>Denied, dimensions line up with vpod</v>
          </cell>
        </row>
        <row r="256">
          <cell r="A256" t="str">
            <v>1LSD0I7000EAKV8</v>
          </cell>
          <cell r="B256" t="str">
            <v>Denied, dimensions line up with vpod and meet girth definition for AH</v>
          </cell>
        </row>
        <row r="257">
          <cell r="A257" t="str">
            <v>1LSD0I7000E4727</v>
          </cell>
          <cell r="B257" t="str">
            <v>Denied, dimensions line up with vpod</v>
          </cell>
        </row>
        <row r="258">
          <cell r="A258" t="str">
            <v>1LSD0I7000EAL2K</v>
          </cell>
          <cell r="B258" t="str">
            <v>Denied, dimensions line up with vpod</v>
          </cell>
        </row>
        <row r="259">
          <cell r="A259" t="str">
            <v>1LSD0I7000ED9CN</v>
          </cell>
          <cell r="B259" t="str">
            <v>Denied, dimensions line up with vpod</v>
          </cell>
        </row>
        <row r="260">
          <cell r="A260" t="str">
            <v>1LSD0I7000ED9SI</v>
          </cell>
          <cell r="B260" t="str">
            <v>Denied, dimensions line up with vpod</v>
          </cell>
        </row>
        <row r="261">
          <cell r="A261" t="str">
            <v>1LSD0I7000EDEAD</v>
          </cell>
          <cell r="B261" t="str">
            <v>Denied, dimensions line up with vpod</v>
          </cell>
        </row>
        <row r="262">
          <cell r="A262" t="str">
            <v>1LSD0I7000EFOMD</v>
          </cell>
          <cell r="B262" t="str">
            <v>Denied, dimensions line up with vpod and meet girth definition for AH</v>
          </cell>
        </row>
        <row r="263">
          <cell r="A263" t="str">
            <v>1LSD0I7000EFP8S</v>
          </cell>
          <cell r="B263" t="str">
            <v>Denied, dimensions line up with vpod</v>
          </cell>
        </row>
        <row r="264">
          <cell r="A264" t="str">
            <v>1LSD0I7000EOBXH</v>
          </cell>
          <cell r="B264" t="str">
            <v>Denied, dimensions line up with vpod</v>
          </cell>
        </row>
        <row r="265">
          <cell r="A265" t="str">
            <v>1LSD0I7000ERID7</v>
          </cell>
          <cell r="B265" t="str">
            <v>Denied, dimensions line up with vpod</v>
          </cell>
        </row>
        <row r="266">
          <cell r="A266" t="str">
            <v>1LSD0I7000ERQ18</v>
          </cell>
          <cell r="B266" t="str">
            <v>Denied, dimensions line up with vpod</v>
          </cell>
        </row>
        <row r="267">
          <cell r="A267" t="str">
            <v>1LSD0I7000ERYPK</v>
          </cell>
          <cell r="B267" t="str">
            <v>Denied, dimensions line up with vpod</v>
          </cell>
        </row>
        <row r="268">
          <cell r="A268" t="str">
            <v>1LSD0I7000EUYYW</v>
          </cell>
          <cell r="B268" t="str">
            <v>Denied, dimensions line up with vpod</v>
          </cell>
        </row>
        <row r="269">
          <cell r="A269" t="str">
            <v>1LSD0I7000DN2LW</v>
          </cell>
          <cell r="B269" t="str">
            <v>Denied, dimensions line up with vpod</v>
          </cell>
        </row>
        <row r="270">
          <cell r="A270" t="str">
            <v>1LSD0I7000E5239</v>
          </cell>
          <cell r="B270" t="str">
            <v>Denied, dimensions line up with vpod</v>
          </cell>
        </row>
        <row r="271">
          <cell r="A271" t="str">
            <v>1LSD0I7000E9Y8T</v>
          </cell>
          <cell r="B271" t="str">
            <v>Denied, dimensions line up with vpod</v>
          </cell>
        </row>
        <row r="272">
          <cell r="A272" t="str">
            <v>1LSD0I7000DSG0Q</v>
          </cell>
          <cell r="B272" t="str">
            <v>Denied, billed on customer dimensions</v>
          </cell>
        </row>
        <row r="273">
          <cell r="A273" t="str">
            <v>1LSD0I7000DU1GB</v>
          </cell>
          <cell r="B273" t="str">
            <v>Denied, billed on customer dimensions</v>
          </cell>
        </row>
        <row r="274">
          <cell r="A274" t="str">
            <v>1LSD0I7000DU1PF</v>
          </cell>
          <cell r="B274" t="str">
            <v>Denied, billed on customer dimensions</v>
          </cell>
        </row>
        <row r="275">
          <cell r="A275" t="str">
            <v>1LSD0I7000DU3KX</v>
          </cell>
          <cell r="B275" t="str">
            <v>Denied, billed on customer dimensions</v>
          </cell>
        </row>
        <row r="276">
          <cell r="A276" t="str">
            <v>1LSD0I7000DUN6A</v>
          </cell>
          <cell r="B276" t="str">
            <v>Denied, billed on customer dimensions</v>
          </cell>
        </row>
        <row r="277">
          <cell r="A277" t="str">
            <v>1LSD0I7000DUNHC</v>
          </cell>
          <cell r="B277" t="str">
            <v>Denied, billed on customer dimensions</v>
          </cell>
        </row>
        <row r="278">
          <cell r="A278" t="str">
            <v>1LSD0I7000DUR94</v>
          </cell>
          <cell r="B278" t="str">
            <v>Denied, billed on customer dimensions</v>
          </cell>
        </row>
        <row r="279">
          <cell r="A279" t="str">
            <v>1LSD0I7000DSCSQ</v>
          </cell>
          <cell r="B279" t="str">
            <v>Denied, billed on customer dimensions</v>
          </cell>
        </row>
        <row r="280">
          <cell r="A280" t="str">
            <v>1LSD0I7000DSDKU</v>
          </cell>
          <cell r="B280" t="str">
            <v>Denied, billed on customer dimensions</v>
          </cell>
        </row>
        <row r="281">
          <cell r="A281" t="str">
            <v>1LSD0I7000CC504</v>
          </cell>
          <cell r="B281" t="str">
            <v>Denied, billed on customer dimensions</v>
          </cell>
        </row>
        <row r="282">
          <cell r="A282" t="str">
            <v>1LSD0I7000BZUHR</v>
          </cell>
          <cell r="B282" t="str">
            <v>Denied, billed on customer dimensions</v>
          </cell>
        </row>
        <row r="283">
          <cell r="A283" t="str">
            <v>1LSD0I7000D1QNP</v>
          </cell>
          <cell r="B283" t="str">
            <v>Denied, measured dimensions line up with vpod</v>
          </cell>
        </row>
        <row r="284">
          <cell r="A284" t="str">
            <v>1LSD0I7000AMC7D</v>
          </cell>
          <cell r="B284" t="str">
            <v>Denied, outside of dispute period</v>
          </cell>
        </row>
        <row r="285">
          <cell r="A285" t="str">
            <v>1LSD0I7000AMD9V</v>
          </cell>
          <cell r="B285" t="str">
            <v>Denied, outside of dispute period</v>
          </cell>
        </row>
        <row r="286">
          <cell r="A286" t="str">
            <v>1LSD0I7000DWM5U</v>
          </cell>
          <cell r="B286" t="str">
            <v>Recalc-Check vpod for LPS cust vs measured dims</v>
          </cell>
        </row>
        <row r="287">
          <cell r="A287" t="str">
            <v>1LSD0I7000DX6Q9</v>
          </cell>
          <cell r="B287" t="str">
            <v>Recalc-Check vpod for LPS cust vs measured dims</v>
          </cell>
        </row>
        <row r="288">
          <cell r="A288" t="str">
            <v>1LSD0I7000DX7N4</v>
          </cell>
          <cell r="B288" t="str">
            <v>Recalc-Check vpod for LPS cust vs measured dims</v>
          </cell>
        </row>
        <row r="289">
          <cell r="A289" t="str">
            <v>1LSD0I7000CUEZJ</v>
          </cell>
          <cell r="B289" t="str">
            <v>Denied, measured dimensions line up with vpod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E0DC-CE09-4C21-B46B-A6EFB9E25226}">
  <dimension ref="A1:I171"/>
  <sheetViews>
    <sheetView tabSelected="1" topLeftCell="B1" workbookViewId="0">
      <selection activeCell="C20" sqref="C20"/>
    </sheetView>
  </sheetViews>
  <sheetFormatPr defaultRowHeight="14.4" x14ac:dyDescent="0.3"/>
  <cols>
    <col min="1" max="2" width="16.88671875" customWidth="1"/>
    <col min="3" max="3" width="18.33203125" customWidth="1"/>
    <col min="4" max="4" width="24.6640625" customWidth="1"/>
    <col min="5" max="6" width="16.88671875" customWidth="1"/>
    <col min="7" max="7" width="112.88671875" bestFit="1" customWidth="1"/>
    <col min="8" max="8" width="24.109375" customWidth="1"/>
    <col min="9" max="9" width="16.8867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45974</v>
      </c>
      <c r="B2" s="4" t="s">
        <v>9</v>
      </c>
      <c r="C2" s="4"/>
      <c r="D2" s="4" t="s">
        <v>10</v>
      </c>
      <c r="E2" s="5">
        <v>45950</v>
      </c>
      <c r="F2" s="4" t="s">
        <v>182</v>
      </c>
      <c r="G2" s="4" t="s">
        <v>183</v>
      </c>
      <c r="H2" s="4" t="s">
        <v>184</v>
      </c>
      <c r="I2" s="6">
        <v>-2121.87</v>
      </c>
    </row>
    <row r="3" spans="1:9" x14ac:dyDescent="0.3">
      <c r="A3" s="3">
        <v>45974</v>
      </c>
      <c r="B3" s="4" t="s">
        <v>9</v>
      </c>
      <c r="C3" s="4"/>
      <c r="D3" s="4" t="s">
        <v>11</v>
      </c>
      <c r="E3" s="5">
        <v>45950</v>
      </c>
      <c r="F3" s="4" t="s">
        <v>182</v>
      </c>
      <c r="G3" s="4" t="s">
        <v>183</v>
      </c>
      <c r="H3" s="4" t="s">
        <v>184</v>
      </c>
      <c r="I3" s="6">
        <v>-2098.06</v>
      </c>
    </row>
    <row r="4" spans="1:9" x14ac:dyDescent="0.3">
      <c r="A4" s="3">
        <v>45974</v>
      </c>
      <c r="B4" s="4" t="s">
        <v>9</v>
      </c>
      <c r="C4" s="4"/>
      <c r="D4" s="4" t="s">
        <v>12</v>
      </c>
      <c r="E4" s="5">
        <v>45950</v>
      </c>
      <c r="F4" s="4" t="s">
        <v>182</v>
      </c>
      <c r="G4" s="4" t="s">
        <v>183</v>
      </c>
      <c r="H4" s="4" t="s">
        <v>184</v>
      </c>
      <c r="I4" s="6">
        <v>-2093.66</v>
      </c>
    </row>
    <row r="5" spans="1:9" x14ac:dyDescent="0.3">
      <c r="A5" s="5">
        <v>45952</v>
      </c>
      <c r="B5" s="4" t="s">
        <v>9</v>
      </c>
      <c r="C5" s="4"/>
      <c r="D5" s="4" t="s">
        <v>13</v>
      </c>
      <c r="E5" s="5">
        <v>45950</v>
      </c>
      <c r="F5" s="4" t="s">
        <v>182</v>
      </c>
      <c r="G5" s="4" t="s">
        <v>183</v>
      </c>
      <c r="H5" s="4" t="s">
        <v>184</v>
      </c>
      <c r="I5" s="6">
        <v>-2083.13</v>
      </c>
    </row>
    <row r="6" spans="1:9" x14ac:dyDescent="0.3">
      <c r="A6" s="3">
        <v>45960</v>
      </c>
      <c r="B6" s="4" t="s">
        <v>9</v>
      </c>
      <c r="C6" s="4"/>
      <c r="D6" s="4" t="s">
        <v>14</v>
      </c>
      <c r="E6" s="5">
        <v>45950</v>
      </c>
      <c r="F6" s="4" t="s">
        <v>182</v>
      </c>
      <c r="G6" s="4" t="s">
        <v>183</v>
      </c>
      <c r="H6" s="4" t="s">
        <v>184</v>
      </c>
      <c r="I6" s="6">
        <v>-2083.13</v>
      </c>
    </row>
    <row r="7" spans="1:9" x14ac:dyDescent="0.3">
      <c r="A7" s="5">
        <v>45952</v>
      </c>
      <c r="B7" s="4" t="s">
        <v>9</v>
      </c>
      <c r="C7" s="4"/>
      <c r="D7" s="4" t="s">
        <v>15</v>
      </c>
      <c r="E7" s="5">
        <v>45950</v>
      </c>
      <c r="F7" s="4" t="s">
        <v>182</v>
      </c>
      <c r="G7" s="4" t="s">
        <v>183</v>
      </c>
      <c r="H7" s="4" t="s">
        <v>184</v>
      </c>
      <c r="I7" s="6">
        <v>-2082.4</v>
      </c>
    </row>
    <row r="8" spans="1:9" x14ac:dyDescent="0.3">
      <c r="A8" s="5">
        <v>45952</v>
      </c>
      <c r="B8" s="4" t="s">
        <v>9</v>
      </c>
      <c r="C8" s="4"/>
      <c r="D8" s="4" t="s">
        <v>16</v>
      </c>
      <c r="E8" s="5">
        <v>45950</v>
      </c>
      <c r="F8" s="4" t="s">
        <v>182</v>
      </c>
      <c r="G8" s="4" t="s">
        <v>183</v>
      </c>
      <c r="H8" s="4" t="s">
        <v>184</v>
      </c>
      <c r="I8" s="6">
        <v>-2080.1799999999998</v>
      </c>
    </row>
    <row r="9" spans="1:9" x14ac:dyDescent="0.3">
      <c r="A9" s="3">
        <v>45974</v>
      </c>
      <c r="B9" s="4" t="s">
        <v>9</v>
      </c>
      <c r="C9" s="4"/>
      <c r="D9" s="4" t="s">
        <v>17</v>
      </c>
      <c r="E9" s="5">
        <v>45950</v>
      </c>
      <c r="F9" s="4" t="s">
        <v>182</v>
      </c>
      <c r="G9" s="4" t="s">
        <v>183</v>
      </c>
      <c r="H9" s="4" t="s">
        <v>184</v>
      </c>
      <c r="I9" s="6">
        <v>-2073.4499999999998</v>
      </c>
    </row>
    <row r="10" spans="1:9" x14ac:dyDescent="0.3">
      <c r="A10" s="3">
        <v>45974</v>
      </c>
      <c r="B10" s="4" t="s">
        <v>9</v>
      </c>
      <c r="C10" s="4"/>
      <c r="D10" s="4" t="s">
        <v>18</v>
      </c>
      <c r="E10" s="5">
        <v>45950</v>
      </c>
      <c r="F10" s="4" t="s">
        <v>182</v>
      </c>
      <c r="G10" s="4" t="s">
        <v>183</v>
      </c>
      <c r="H10" s="4" t="s">
        <v>184</v>
      </c>
      <c r="I10" s="6">
        <v>-2073.4499999999998</v>
      </c>
    </row>
    <row r="11" spans="1:9" x14ac:dyDescent="0.3">
      <c r="A11" s="3">
        <v>45974</v>
      </c>
      <c r="B11" s="4" t="s">
        <v>9</v>
      </c>
      <c r="C11" s="4"/>
      <c r="D11" s="4" t="s">
        <v>19</v>
      </c>
      <c r="E11" s="5">
        <v>45950</v>
      </c>
      <c r="F11" s="4" t="s">
        <v>182</v>
      </c>
      <c r="G11" s="4" t="s">
        <v>183</v>
      </c>
      <c r="H11" s="4" t="s">
        <v>184</v>
      </c>
      <c r="I11" s="6">
        <v>-2073.44</v>
      </c>
    </row>
    <row r="12" spans="1:9" x14ac:dyDescent="0.3">
      <c r="A12" s="3">
        <v>45974</v>
      </c>
      <c r="B12" s="4" t="s">
        <v>9</v>
      </c>
      <c r="C12" s="4"/>
      <c r="D12" s="4" t="s">
        <v>20</v>
      </c>
      <c r="E12" s="5">
        <v>45950</v>
      </c>
      <c r="F12" s="4" t="s">
        <v>182</v>
      </c>
      <c r="G12" s="4" t="s">
        <v>183</v>
      </c>
      <c r="H12" s="4" t="s">
        <v>184</v>
      </c>
      <c r="I12" s="6">
        <v>-2073.27</v>
      </c>
    </row>
    <row r="13" spans="1:9" x14ac:dyDescent="0.3">
      <c r="A13" s="3">
        <v>45974</v>
      </c>
      <c r="B13" s="4" t="s">
        <v>9</v>
      </c>
      <c r="C13" s="4"/>
      <c r="D13" s="4" t="s">
        <v>21</v>
      </c>
      <c r="E13" s="5">
        <v>45950</v>
      </c>
      <c r="F13" s="4" t="s">
        <v>182</v>
      </c>
      <c r="G13" s="4" t="s">
        <v>183</v>
      </c>
      <c r="H13" s="4" t="s">
        <v>184</v>
      </c>
      <c r="I13" s="6">
        <v>-2073.27</v>
      </c>
    </row>
    <row r="14" spans="1:9" x14ac:dyDescent="0.3">
      <c r="A14" s="3">
        <v>45974</v>
      </c>
      <c r="B14" s="4" t="s">
        <v>9</v>
      </c>
      <c r="C14" s="4"/>
      <c r="D14" s="4" t="s">
        <v>22</v>
      </c>
      <c r="E14" s="5">
        <v>45950</v>
      </c>
      <c r="F14" s="4" t="s">
        <v>182</v>
      </c>
      <c r="G14" s="4" t="s">
        <v>183</v>
      </c>
      <c r="H14" s="4" t="s">
        <v>184</v>
      </c>
      <c r="I14" s="6">
        <v>-2073.2600000000002</v>
      </c>
    </row>
    <row r="15" spans="1:9" x14ac:dyDescent="0.3">
      <c r="A15" s="3">
        <v>45974</v>
      </c>
      <c r="B15" s="4" t="s">
        <v>9</v>
      </c>
      <c r="C15" s="4"/>
      <c r="D15" s="4" t="s">
        <v>23</v>
      </c>
      <c r="E15" s="5">
        <v>45950</v>
      </c>
      <c r="F15" s="4" t="s">
        <v>182</v>
      </c>
      <c r="G15" s="4" t="s">
        <v>183</v>
      </c>
      <c r="H15" s="4" t="s">
        <v>184</v>
      </c>
      <c r="I15" s="6">
        <v>-2072.59</v>
      </c>
    </row>
    <row r="16" spans="1:9" x14ac:dyDescent="0.3">
      <c r="A16" s="5">
        <v>45952</v>
      </c>
      <c r="B16" s="4" t="s">
        <v>9</v>
      </c>
      <c r="C16" s="4"/>
      <c r="D16" s="4" t="s">
        <v>24</v>
      </c>
      <c r="E16" s="5">
        <v>45950</v>
      </c>
      <c r="F16" s="4" t="s">
        <v>182</v>
      </c>
      <c r="G16" s="4" t="s">
        <v>183</v>
      </c>
      <c r="H16" s="4" t="s">
        <v>184</v>
      </c>
      <c r="I16" s="6">
        <v>-2070.4899999999998</v>
      </c>
    </row>
    <row r="17" spans="1:9" x14ac:dyDescent="0.3">
      <c r="A17" s="3">
        <v>45974</v>
      </c>
      <c r="B17" s="4" t="s">
        <v>9</v>
      </c>
      <c r="C17" s="4"/>
      <c r="D17" s="4" t="s">
        <v>25</v>
      </c>
      <c r="E17" s="5">
        <v>45950</v>
      </c>
      <c r="F17" s="4" t="s">
        <v>182</v>
      </c>
      <c r="G17" s="4" t="s">
        <v>183</v>
      </c>
      <c r="H17" s="4" t="s">
        <v>184</v>
      </c>
      <c r="I17" s="6">
        <v>-2070.46</v>
      </c>
    </row>
    <row r="18" spans="1:9" x14ac:dyDescent="0.3">
      <c r="A18" s="3">
        <v>45974</v>
      </c>
      <c r="B18" s="4" t="s">
        <v>9</v>
      </c>
      <c r="C18" s="4"/>
      <c r="D18" s="4" t="s">
        <v>26</v>
      </c>
      <c r="E18" s="5">
        <v>45950</v>
      </c>
      <c r="F18" s="4" t="s">
        <v>182</v>
      </c>
      <c r="G18" s="4" t="s">
        <v>183</v>
      </c>
      <c r="H18" s="4" t="s">
        <v>184</v>
      </c>
      <c r="I18" s="6">
        <v>-2070.27</v>
      </c>
    </row>
    <row r="19" spans="1:9" x14ac:dyDescent="0.3">
      <c r="A19" s="3">
        <v>45974</v>
      </c>
      <c r="B19" s="4" t="s">
        <v>9</v>
      </c>
      <c r="C19" s="4"/>
      <c r="D19" s="4" t="s">
        <v>27</v>
      </c>
      <c r="E19" s="5">
        <v>45950</v>
      </c>
      <c r="F19" s="4" t="s">
        <v>182</v>
      </c>
      <c r="G19" s="4" t="s">
        <v>183</v>
      </c>
      <c r="H19" s="4" t="s">
        <v>184</v>
      </c>
      <c r="I19" s="6">
        <v>-2070.27</v>
      </c>
    </row>
    <row r="20" spans="1:9" x14ac:dyDescent="0.3">
      <c r="A20" s="3">
        <v>45974</v>
      </c>
      <c r="B20" s="4" t="s">
        <v>9</v>
      </c>
      <c r="C20" s="4"/>
      <c r="D20" s="4" t="s">
        <v>28</v>
      </c>
      <c r="E20" s="5">
        <v>45950</v>
      </c>
      <c r="F20" s="4" t="s">
        <v>182</v>
      </c>
      <c r="G20" s="4" t="s">
        <v>183</v>
      </c>
      <c r="H20" s="4" t="s">
        <v>184</v>
      </c>
      <c r="I20" s="6">
        <v>-2069.6</v>
      </c>
    </row>
    <row r="21" spans="1:9" x14ac:dyDescent="0.3">
      <c r="A21" s="3">
        <v>45960</v>
      </c>
      <c r="B21" s="4" t="s">
        <v>9</v>
      </c>
      <c r="C21" s="4"/>
      <c r="D21" s="4" t="s">
        <v>29</v>
      </c>
      <c r="E21" s="5">
        <v>45950</v>
      </c>
      <c r="F21" s="4" t="s">
        <v>182</v>
      </c>
      <c r="G21" s="4" t="s">
        <v>183</v>
      </c>
      <c r="H21" s="4" t="s">
        <v>184</v>
      </c>
      <c r="I21" s="6">
        <v>-2072.94</v>
      </c>
    </row>
    <row r="22" spans="1:9" x14ac:dyDescent="0.3">
      <c r="A22" s="3">
        <v>45974</v>
      </c>
      <c r="B22" s="4" t="s">
        <v>9</v>
      </c>
      <c r="C22" s="4"/>
      <c r="D22" s="4" t="s">
        <v>30</v>
      </c>
      <c r="E22" s="5">
        <v>45950</v>
      </c>
      <c r="F22" s="4" t="s">
        <v>182</v>
      </c>
      <c r="G22" s="4" t="s">
        <v>183</v>
      </c>
      <c r="H22" s="4" t="s">
        <v>184</v>
      </c>
      <c r="I22" s="6">
        <v>-2063.12</v>
      </c>
    </row>
    <row r="23" spans="1:9" x14ac:dyDescent="0.3">
      <c r="A23" s="3">
        <v>45974</v>
      </c>
      <c r="B23" s="4" t="s">
        <v>9</v>
      </c>
      <c r="C23" s="4"/>
      <c r="D23" s="4" t="s">
        <v>31</v>
      </c>
      <c r="E23" s="5">
        <v>45950</v>
      </c>
      <c r="F23" s="4" t="s">
        <v>182</v>
      </c>
      <c r="G23" s="4" t="s">
        <v>183</v>
      </c>
      <c r="H23" s="4" t="s">
        <v>184</v>
      </c>
      <c r="I23" s="6">
        <v>-2062.2199999999998</v>
      </c>
    </row>
    <row r="24" spans="1:9" x14ac:dyDescent="0.3">
      <c r="A24" s="3">
        <v>45960</v>
      </c>
      <c r="B24" s="4" t="s">
        <v>9</v>
      </c>
      <c r="C24" s="4"/>
      <c r="D24" s="4" t="s">
        <v>32</v>
      </c>
      <c r="E24" s="5">
        <v>45950</v>
      </c>
      <c r="F24" s="4" t="s">
        <v>182</v>
      </c>
      <c r="G24" s="4" t="s">
        <v>183</v>
      </c>
      <c r="H24" s="4" t="s">
        <v>184</v>
      </c>
      <c r="I24" s="6">
        <v>-2063.73</v>
      </c>
    </row>
    <row r="25" spans="1:9" x14ac:dyDescent="0.3">
      <c r="A25" s="3">
        <v>45960</v>
      </c>
      <c r="B25" s="4" t="s">
        <v>9</v>
      </c>
      <c r="C25" s="4"/>
      <c r="D25" s="4" t="s">
        <v>33</v>
      </c>
      <c r="E25" s="5">
        <v>45950</v>
      </c>
      <c r="F25" s="4" t="s">
        <v>182</v>
      </c>
      <c r="G25" s="4" t="s">
        <v>183</v>
      </c>
      <c r="H25" s="4" t="s">
        <v>184</v>
      </c>
      <c r="I25" s="6">
        <v>-2055.7800000000002</v>
      </c>
    </row>
    <row r="26" spans="1:9" x14ac:dyDescent="0.3">
      <c r="A26" s="3">
        <v>45960</v>
      </c>
      <c r="B26" s="4" t="s">
        <v>9</v>
      </c>
      <c r="C26" s="4"/>
      <c r="D26" s="4" t="s">
        <v>34</v>
      </c>
      <c r="E26" s="5">
        <v>45950</v>
      </c>
      <c r="F26" s="4" t="s">
        <v>182</v>
      </c>
      <c r="G26" s="4" t="s">
        <v>183</v>
      </c>
      <c r="H26" s="4" t="s">
        <v>184</v>
      </c>
      <c r="I26" s="6">
        <v>-2055.48</v>
      </c>
    </row>
    <row r="27" spans="1:9" x14ac:dyDescent="0.3">
      <c r="A27" s="3">
        <v>45960</v>
      </c>
      <c r="B27" s="4" t="s">
        <v>9</v>
      </c>
      <c r="C27" s="4"/>
      <c r="D27" s="4" t="s">
        <v>35</v>
      </c>
      <c r="E27" s="5">
        <v>45950</v>
      </c>
      <c r="F27" s="4" t="s">
        <v>182</v>
      </c>
      <c r="G27" s="4" t="s">
        <v>183</v>
      </c>
      <c r="H27" s="4" t="s">
        <v>184</v>
      </c>
      <c r="I27" s="6">
        <v>-2055.48</v>
      </c>
    </row>
    <row r="28" spans="1:9" x14ac:dyDescent="0.3">
      <c r="A28" s="3">
        <v>45960</v>
      </c>
      <c r="B28" s="4" t="s">
        <v>9</v>
      </c>
      <c r="C28" s="4"/>
      <c r="D28" s="4" t="s">
        <v>36</v>
      </c>
      <c r="E28" s="5">
        <v>45950</v>
      </c>
      <c r="F28" s="4" t="s">
        <v>182</v>
      </c>
      <c r="G28" s="4" t="s">
        <v>183</v>
      </c>
      <c r="H28" s="4" t="s">
        <v>184</v>
      </c>
      <c r="I28" s="6">
        <v>-2055.48</v>
      </c>
    </row>
    <row r="29" spans="1:9" x14ac:dyDescent="0.3">
      <c r="A29" s="5">
        <v>45952</v>
      </c>
      <c r="B29" s="4" t="s">
        <v>9</v>
      </c>
      <c r="C29" s="4"/>
      <c r="D29" s="4" t="s">
        <v>37</v>
      </c>
      <c r="E29" s="5">
        <v>45950</v>
      </c>
      <c r="F29" s="4" t="s">
        <v>182</v>
      </c>
      <c r="G29" s="4" t="s">
        <v>183</v>
      </c>
      <c r="H29" s="4" t="s">
        <v>184</v>
      </c>
      <c r="I29" s="6">
        <v>-2055.3000000000002</v>
      </c>
    </row>
    <row r="30" spans="1:9" x14ac:dyDescent="0.3">
      <c r="A30" s="5">
        <v>45952</v>
      </c>
      <c r="B30" s="4" t="s">
        <v>9</v>
      </c>
      <c r="C30" s="4"/>
      <c r="D30" s="4" t="s">
        <v>38</v>
      </c>
      <c r="E30" s="5">
        <v>45950</v>
      </c>
      <c r="F30" s="4" t="s">
        <v>182</v>
      </c>
      <c r="G30" s="4" t="s">
        <v>183</v>
      </c>
      <c r="H30" s="4" t="s">
        <v>184</v>
      </c>
      <c r="I30" s="6">
        <v>-2055.3000000000002</v>
      </c>
    </row>
    <row r="31" spans="1:9" x14ac:dyDescent="0.3">
      <c r="A31" s="3">
        <v>45960</v>
      </c>
      <c r="B31" s="4" t="s">
        <v>9</v>
      </c>
      <c r="C31" s="4"/>
      <c r="D31" s="4" t="s">
        <v>39</v>
      </c>
      <c r="E31" s="5">
        <v>45950</v>
      </c>
      <c r="F31" s="4" t="s">
        <v>182</v>
      </c>
      <c r="G31" s="4" t="s">
        <v>183</v>
      </c>
      <c r="H31" s="4" t="s">
        <v>184</v>
      </c>
      <c r="I31" s="6">
        <v>-2055.3000000000002</v>
      </c>
    </row>
    <row r="32" spans="1:9" x14ac:dyDescent="0.3">
      <c r="A32" s="3">
        <v>45960</v>
      </c>
      <c r="B32" s="4" t="s">
        <v>9</v>
      </c>
      <c r="C32" s="4"/>
      <c r="D32" s="4" t="s">
        <v>40</v>
      </c>
      <c r="E32" s="5">
        <v>45950</v>
      </c>
      <c r="F32" s="4" t="s">
        <v>182</v>
      </c>
      <c r="G32" s="4" t="s">
        <v>183</v>
      </c>
      <c r="H32" s="4" t="s">
        <v>184</v>
      </c>
      <c r="I32" s="6">
        <v>-2043.03</v>
      </c>
    </row>
    <row r="33" spans="1:9" x14ac:dyDescent="0.3">
      <c r="A33" s="3">
        <v>45967</v>
      </c>
      <c r="B33" s="4" t="s">
        <v>9</v>
      </c>
      <c r="C33" s="4"/>
      <c r="D33" s="4" t="s">
        <v>41</v>
      </c>
      <c r="E33" s="5">
        <v>45950</v>
      </c>
      <c r="F33" s="4" t="s">
        <v>182</v>
      </c>
      <c r="G33" s="4" t="s">
        <v>183</v>
      </c>
      <c r="H33" s="4" t="s">
        <v>184</v>
      </c>
      <c r="I33" s="6">
        <v>-1868.96</v>
      </c>
    </row>
    <row r="34" spans="1:9" x14ac:dyDescent="0.3">
      <c r="A34" s="3">
        <v>45967</v>
      </c>
      <c r="B34" s="4" t="s">
        <v>9</v>
      </c>
      <c r="C34" s="4"/>
      <c r="D34" s="4" t="s">
        <v>42</v>
      </c>
      <c r="E34" s="5">
        <v>45950</v>
      </c>
      <c r="F34" s="4" t="s">
        <v>182</v>
      </c>
      <c r="G34" s="4" t="s">
        <v>183</v>
      </c>
      <c r="H34" s="4" t="s">
        <v>184</v>
      </c>
      <c r="I34" s="6">
        <v>-1867.79</v>
      </c>
    </row>
    <row r="35" spans="1:9" x14ac:dyDescent="0.3">
      <c r="A35" s="3">
        <v>45967</v>
      </c>
      <c r="B35" s="4" t="s">
        <v>9</v>
      </c>
      <c r="C35" s="4"/>
      <c r="D35" s="4" t="s">
        <v>43</v>
      </c>
      <c r="E35" s="5">
        <v>45950</v>
      </c>
      <c r="F35" s="4" t="s">
        <v>182</v>
      </c>
      <c r="G35" s="4" t="s">
        <v>183</v>
      </c>
      <c r="H35" s="4" t="s">
        <v>184</v>
      </c>
      <c r="I35" s="6">
        <v>-1865.7</v>
      </c>
    </row>
    <row r="36" spans="1:9" x14ac:dyDescent="0.3">
      <c r="A36" s="3">
        <v>45967</v>
      </c>
      <c r="B36" s="4" t="s">
        <v>9</v>
      </c>
      <c r="C36" s="4"/>
      <c r="D36" s="4" t="s">
        <v>44</v>
      </c>
      <c r="E36" s="5">
        <v>45950</v>
      </c>
      <c r="F36" s="4" t="s">
        <v>182</v>
      </c>
      <c r="G36" s="4" t="s">
        <v>183</v>
      </c>
      <c r="H36" s="4" t="s">
        <v>184</v>
      </c>
      <c r="I36" s="6">
        <v>-1865.54</v>
      </c>
    </row>
    <row r="37" spans="1:9" x14ac:dyDescent="0.3">
      <c r="A37" s="3">
        <v>45967</v>
      </c>
      <c r="B37" s="4" t="s">
        <v>9</v>
      </c>
      <c r="C37" s="4"/>
      <c r="D37" s="4" t="s">
        <v>45</v>
      </c>
      <c r="E37" s="5">
        <v>45950</v>
      </c>
      <c r="F37" s="4" t="s">
        <v>182</v>
      </c>
      <c r="G37" s="4" t="s">
        <v>183</v>
      </c>
      <c r="H37" s="4" t="s">
        <v>184</v>
      </c>
      <c r="I37" s="6">
        <v>-1854.38</v>
      </c>
    </row>
    <row r="38" spans="1:9" x14ac:dyDescent="0.3">
      <c r="A38" s="3">
        <v>45967</v>
      </c>
      <c r="B38" s="4" t="s">
        <v>9</v>
      </c>
      <c r="C38" s="4"/>
      <c r="D38" s="4" t="s">
        <v>46</v>
      </c>
      <c r="E38" s="5">
        <v>45950</v>
      </c>
      <c r="F38" s="4" t="s">
        <v>182</v>
      </c>
      <c r="G38" s="4" t="s">
        <v>183</v>
      </c>
      <c r="H38" s="4" t="s">
        <v>184</v>
      </c>
      <c r="I38" s="6">
        <v>-1839.69</v>
      </c>
    </row>
    <row r="39" spans="1:9" x14ac:dyDescent="0.3">
      <c r="A39" s="3">
        <v>45967</v>
      </c>
      <c r="B39" s="4" t="s">
        <v>9</v>
      </c>
      <c r="C39" s="4"/>
      <c r="D39" s="4" t="s">
        <v>47</v>
      </c>
      <c r="E39" s="5">
        <v>45950</v>
      </c>
      <c r="F39" s="4" t="s">
        <v>182</v>
      </c>
      <c r="G39" s="4" t="s">
        <v>183</v>
      </c>
      <c r="H39" s="4" t="s">
        <v>184</v>
      </c>
      <c r="I39" s="6">
        <v>-1839.12</v>
      </c>
    </row>
    <row r="40" spans="1:9" x14ac:dyDescent="0.3">
      <c r="A40" s="3">
        <v>45967</v>
      </c>
      <c r="B40" s="4" t="s">
        <v>9</v>
      </c>
      <c r="C40" s="4"/>
      <c r="D40" s="4" t="s">
        <v>48</v>
      </c>
      <c r="E40" s="5">
        <v>45950</v>
      </c>
      <c r="F40" s="4" t="s">
        <v>182</v>
      </c>
      <c r="G40" s="4" t="s">
        <v>183</v>
      </c>
      <c r="H40" s="4" t="s">
        <v>184</v>
      </c>
      <c r="I40" s="6">
        <v>-1839.12</v>
      </c>
    </row>
    <row r="41" spans="1:9" x14ac:dyDescent="0.3">
      <c r="A41" s="3">
        <v>45967</v>
      </c>
      <c r="B41" s="4" t="s">
        <v>9</v>
      </c>
      <c r="C41" s="4"/>
      <c r="D41" s="4" t="s">
        <v>49</v>
      </c>
      <c r="E41" s="5">
        <v>45950</v>
      </c>
      <c r="F41" s="4" t="s">
        <v>182</v>
      </c>
      <c r="G41" s="4" t="s">
        <v>183</v>
      </c>
      <c r="H41" s="4" t="s">
        <v>184</v>
      </c>
      <c r="I41" s="6">
        <v>-1839</v>
      </c>
    </row>
    <row r="42" spans="1:9" x14ac:dyDescent="0.3">
      <c r="A42" s="3">
        <v>45967</v>
      </c>
      <c r="B42" s="4" t="s">
        <v>9</v>
      </c>
      <c r="C42" s="4"/>
      <c r="D42" s="4" t="s">
        <v>50</v>
      </c>
      <c r="E42" s="5">
        <v>45950</v>
      </c>
      <c r="F42" s="4" t="s">
        <v>182</v>
      </c>
      <c r="G42" s="4" t="s">
        <v>183</v>
      </c>
      <c r="H42" s="4" t="s">
        <v>184</v>
      </c>
      <c r="I42" s="6">
        <v>-1838.86</v>
      </c>
    </row>
    <row r="43" spans="1:9" x14ac:dyDescent="0.3">
      <c r="A43" s="3">
        <v>45967</v>
      </c>
      <c r="B43" s="4" t="s">
        <v>9</v>
      </c>
      <c r="C43" s="4"/>
      <c r="D43" s="4" t="s">
        <v>51</v>
      </c>
      <c r="E43" s="5">
        <v>45950</v>
      </c>
      <c r="F43" s="4" t="s">
        <v>182</v>
      </c>
      <c r="G43" s="4" t="s">
        <v>183</v>
      </c>
      <c r="H43" s="4" t="s">
        <v>184</v>
      </c>
      <c r="I43" s="6">
        <v>-1838.86</v>
      </c>
    </row>
    <row r="44" spans="1:9" x14ac:dyDescent="0.3">
      <c r="A44" s="3">
        <v>45967</v>
      </c>
      <c r="B44" s="4" t="s">
        <v>9</v>
      </c>
      <c r="C44" s="4"/>
      <c r="D44" s="4" t="s">
        <v>52</v>
      </c>
      <c r="E44" s="5">
        <v>45950</v>
      </c>
      <c r="F44" s="4" t="s">
        <v>182</v>
      </c>
      <c r="G44" s="4" t="s">
        <v>183</v>
      </c>
      <c r="H44" s="4" t="s">
        <v>184</v>
      </c>
      <c r="I44" s="6">
        <v>-1838.86</v>
      </c>
    </row>
    <row r="45" spans="1:9" x14ac:dyDescent="0.3">
      <c r="A45" s="3">
        <v>45967</v>
      </c>
      <c r="B45" s="4" t="s">
        <v>9</v>
      </c>
      <c r="C45" s="4"/>
      <c r="D45" s="4" t="s">
        <v>53</v>
      </c>
      <c r="E45" s="5">
        <v>45950</v>
      </c>
      <c r="F45" s="4" t="s">
        <v>182</v>
      </c>
      <c r="G45" s="4" t="s">
        <v>183</v>
      </c>
      <c r="H45" s="4" t="s">
        <v>184</v>
      </c>
      <c r="I45" s="6">
        <v>-1838.86</v>
      </c>
    </row>
    <row r="46" spans="1:9" x14ac:dyDescent="0.3">
      <c r="A46" s="3">
        <v>45967</v>
      </c>
      <c r="B46" s="4" t="s">
        <v>9</v>
      </c>
      <c r="C46" s="4"/>
      <c r="D46" s="4" t="s">
        <v>54</v>
      </c>
      <c r="E46" s="5">
        <v>45950</v>
      </c>
      <c r="F46" s="4" t="s">
        <v>182</v>
      </c>
      <c r="G46" s="4" t="s">
        <v>183</v>
      </c>
      <c r="H46" s="4" t="s">
        <v>184</v>
      </c>
      <c r="I46" s="6">
        <v>-1838.44</v>
      </c>
    </row>
    <row r="47" spans="1:9" x14ac:dyDescent="0.3">
      <c r="A47" s="5">
        <v>45952</v>
      </c>
      <c r="B47" s="4" t="s">
        <v>55</v>
      </c>
      <c r="C47" s="4"/>
      <c r="D47" s="4" t="s">
        <v>56</v>
      </c>
      <c r="E47" s="5">
        <v>45950</v>
      </c>
      <c r="F47" s="4" t="s">
        <v>182</v>
      </c>
      <c r="G47" s="4" t="s">
        <v>183</v>
      </c>
      <c r="H47" s="4" t="s">
        <v>184</v>
      </c>
      <c r="I47" s="6">
        <v>-250.91</v>
      </c>
    </row>
    <row r="48" spans="1:9" x14ac:dyDescent="0.3">
      <c r="A48" s="3">
        <v>45960</v>
      </c>
      <c r="B48" s="4" t="s">
        <v>55</v>
      </c>
      <c r="C48" s="4"/>
      <c r="D48" s="4" t="s">
        <v>57</v>
      </c>
      <c r="E48" s="5">
        <v>45950</v>
      </c>
      <c r="F48" s="4" t="s">
        <v>182</v>
      </c>
      <c r="G48" s="4" t="s">
        <v>183</v>
      </c>
      <c r="H48" s="4" t="s">
        <v>184</v>
      </c>
      <c r="I48" s="6">
        <v>-225.15</v>
      </c>
    </row>
    <row r="49" spans="1:9" x14ac:dyDescent="0.3">
      <c r="A49" s="3">
        <v>45974</v>
      </c>
      <c r="B49" s="4" t="s">
        <v>55</v>
      </c>
      <c r="C49" s="4"/>
      <c r="D49" s="4" t="s">
        <v>58</v>
      </c>
      <c r="E49" s="5">
        <v>45950</v>
      </c>
      <c r="F49" s="4" t="s">
        <v>182</v>
      </c>
      <c r="G49" s="4" t="s">
        <v>183</v>
      </c>
      <c r="H49" s="4" t="s">
        <v>184</v>
      </c>
      <c r="I49" s="6">
        <v>-186.96</v>
      </c>
    </row>
    <row r="50" spans="1:9" x14ac:dyDescent="0.3">
      <c r="A50" s="3">
        <v>45974</v>
      </c>
      <c r="B50" s="4" t="s">
        <v>55</v>
      </c>
      <c r="C50" s="4"/>
      <c r="D50" s="4" t="s">
        <v>59</v>
      </c>
      <c r="E50" s="5">
        <v>45950</v>
      </c>
      <c r="F50" s="4" t="s">
        <v>182</v>
      </c>
      <c r="G50" s="4" t="s">
        <v>183</v>
      </c>
      <c r="H50" s="4" t="s">
        <v>184</v>
      </c>
      <c r="I50" s="6">
        <v>-168.05</v>
      </c>
    </row>
    <row r="51" spans="1:9" x14ac:dyDescent="0.3">
      <c r="A51" s="3">
        <v>45974</v>
      </c>
      <c r="B51" s="4" t="s">
        <v>55</v>
      </c>
      <c r="C51" s="4"/>
      <c r="D51" s="4" t="s">
        <v>60</v>
      </c>
      <c r="E51" s="5">
        <v>45950</v>
      </c>
      <c r="F51" s="4" t="s">
        <v>182</v>
      </c>
      <c r="G51" s="4" t="s">
        <v>183</v>
      </c>
      <c r="H51" s="4" t="s">
        <v>184</v>
      </c>
      <c r="I51" s="6">
        <v>-167.87</v>
      </c>
    </row>
    <row r="52" spans="1:9" x14ac:dyDescent="0.3">
      <c r="A52" s="3">
        <v>45974</v>
      </c>
      <c r="B52" s="4" t="s">
        <v>55</v>
      </c>
      <c r="C52" s="4"/>
      <c r="D52" s="4" t="s">
        <v>61</v>
      </c>
      <c r="E52" s="5">
        <v>45950</v>
      </c>
      <c r="F52" s="4" t="s">
        <v>182</v>
      </c>
      <c r="G52" s="4" t="s">
        <v>183</v>
      </c>
      <c r="H52" s="4" t="s">
        <v>184</v>
      </c>
      <c r="I52" s="6">
        <v>-157.62</v>
      </c>
    </row>
    <row r="53" spans="1:9" x14ac:dyDescent="0.3">
      <c r="A53" s="3">
        <v>45967</v>
      </c>
      <c r="B53" s="4" t="s">
        <v>55</v>
      </c>
      <c r="C53" s="4"/>
      <c r="D53" s="4" t="s">
        <v>62</v>
      </c>
      <c r="E53" s="5">
        <v>45950</v>
      </c>
      <c r="F53" s="4" t="s">
        <v>182</v>
      </c>
      <c r="G53" s="4" t="s">
        <v>183</v>
      </c>
      <c r="H53" s="4" t="s">
        <v>184</v>
      </c>
      <c r="I53" s="6">
        <v>-145.62</v>
      </c>
    </row>
    <row r="54" spans="1:9" x14ac:dyDescent="0.3">
      <c r="A54" s="3">
        <v>45967</v>
      </c>
      <c r="B54" s="4" t="s">
        <v>55</v>
      </c>
      <c r="C54" s="4"/>
      <c r="D54" s="4" t="s">
        <v>63</v>
      </c>
      <c r="E54" s="5">
        <v>45950</v>
      </c>
      <c r="F54" s="4" t="s">
        <v>182</v>
      </c>
      <c r="G54" s="4" t="s">
        <v>183</v>
      </c>
      <c r="H54" s="4" t="s">
        <v>184</v>
      </c>
      <c r="I54" s="6">
        <v>-145.37</v>
      </c>
    </row>
    <row r="55" spans="1:9" x14ac:dyDescent="0.3">
      <c r="A55" s="5">
        <v>45952</v>
      </c>
      <c r="B55" s="4" t="s">
        <v>64</v>
      </c>
      <c r="C55" s="4"/>
      <c r="D55" s="4" t="s">
        <v>65</v>
      </c>
      <c r="E55" s="5">
        <v>45950</v>
      </c>
      <c r="F55" s="4" t="s">
        <v>182</v>
      </c>
      <c r="G55" s="4" t="s">
        <v>183</v>
      </c>
      <c r="H55" s="4" t="s">
        <v>184</v>
      </c>
      <c r="I55" s="6">
        <v>-37.24</v>
      </c>
    </row>
    <row r="56" spans="1:9" x14ac:dyDescent="0.3">
      <c r="A56" s="5">
        <v>45952</v>
      </c>
      <c r="B56" s="4" t="s">
        <v>64</v>
      </c>
      <c r="C56" s="4"/>
      <c r="D56" s="4" t="s">
        <v>66</v>
      </c>
      <c r="E56" s="5">
        <v>45950</v>
      </c>
      <c r="F56" s="4" t="s">
        <v>182</v>
      </c>
      <c r="G56" s="4" t="s">
        <v>183</v>
      </c>
      <c r="H56" s="4" t="s">
        <v>184</v>
      </c>
      <c r="I56" s="6">
        <v>-36.65</v>
      </c>
    </row>
    <row r="57" spans="1:9" x14ac:dyDescent="0.3">
      <c r="A57" s="3">
        <v>45960</v>
      </c>
      <c r="B57" s="4" t="s">
        <v>64</v>
      </c>
      <c r="C57" s="4"/>
      <c r="D57" s="4" t="s">
        <v>67</v>
      </c>
      <c r="E57" s="5">
        <v>45950</v>
      </c>
      <c r="F57" s="4" t="s">
        <v>182</v>
      </c>
      <c r="G57" s="4" t="s">
        <v>183</v>
      </c>
      <c r="H57" s="4" t="s">
        <v>184</v>
      </c>
      <c r="I57" s="6">
        <v>-36.32</v>
      </c>
    </row>
    <row r="58" spans="1:9" x14ac:dyDescent="0.3">
      <c r="A58" s="5">
        <v>45952</v>
      </c>
      <c r="B58" s="4" t="s">
        <v>64</v>
      </c>
      <c r="C58" s="4"/>
      <c r="D58" s="4" t="s">
        <v>68</v>
      </c>
      <c r="E58" s="5">
        <v>45950</v>
      </c>
      <c r="F58" s="4" t="s">
        <v>182</v>
      </c>
      <c r="G58" s="4" t="s">
        <v>183</v>
      </c>
      <c r="H58" s="4" t="s">
        <v>184</v>
      </c>
      <c r="I58" s="6">
        <v>-36.26</v>
      </c>
    </row>
    <row r="59" spans="1:9" x14ac:dyDescent="0.3">
      <c r="A59" s="3">
        <v>45960</v>
      </c>
      <c r="B59" s="4" t="s">
        <v>64</v>
      </c>
      <c r="C59" s="4"/>
      <c r="D59" s="4" t="s">
        <v>69</v>
      </c>
      <c r="E59" s="5">
        <v>45950</v>
      </c>
      <c r="F59" s="4" t="s">
        <v>182</v>
      </c>
      <c r="G59" s="4" t="s">
        <v>183</v>
      </c>
      <c r="H59" s="4" t="s">
        <v>184</v>
      </c>
      <c r="I59" s="6">
        <v>-36.26</v>
      </c>
    </row>
    <row r="60" spans="1:9" x14ac:dyDescent="0.3">
      <c r="A60" s="5">
        <v>45952</v>
      </c>
      <c r="B60" s="4" t="s">
        <v>64</v>
      </c>
      <c r="C60" s="4"/>
      <c r="D60" s="4" t="s">
        <v>70</v>
      </c>
      <c r="E60" s="5">
        <v>45950</v>
      </c>
      <c r="F60" s="4" t="s">
        <v>182</v>
      </c>
      <c r="G60" s="4" t="s">
        <v>183</v>
      </c>
      <c r="H60" s="4" t="s">
        <v>184</v>
      </c>
      <c r="I60" s="6">
        <v>-35.92</v>
      </c>
    </row>
    <row r="61" spans="1:9" x14ac:dyDescent="0.3">
      <c r="A61" s="5">
        <v>45952</v>
      </c>
      <c r="B61" s="4" t="s">
        <v>64</v>
      </c>
      <c r="C61" s="4"/>
      <c r="D61" s="4" t="s">
        <v>71</v>
      </c>
      <c r="E61" s="5">
        <v>45950</v>
      </c>
      <c r="F61" s="4" t="s">
        <v>182</v>
      </c>
      <c r="G61" s="4" t="s">
        <v>183</v>
      </c>
      <c r="H61" s="4" t="s">
        <v>184</v>
      </c>
      <c r="I61" s="6">
        <v>-35.659999999999997</v>
      </c>
    </row>
    <row r="62" spans="1:9" x14ac:dyDescent="0.3">
      <c r="A62" s="5">
        <v>45952</v>
      </c>
      <c r="B62" s="4" t="s">
        <v>64</v>
      </c>
      <c r="C62" s="4"/>
      <c r="D62" s="4" t="s">
        <v>72</v>
      </c>
      <c r="E62" s="5">
        <v>45950</v>
      </c>
      <c r="F62" s="4" t="s">
        <v>182</v>
      </c>
      <c r="G62" s="4" t="s">
        <v>183</v>
      </c>
      <c r="H62" s="4" t="s">
        <v>184</v>
      </c>
      <c r="I62" s="6">
        <v>-35.270000000000003</v>
      </c>
    </row>
    <row r="63" spans="1:9" x14ac:dyDescent="0.3">
      <c r="A63" s="5">
        <v>45952</v>
      </c>
      <c r="B63" s="4" t="s">
        <v>64</v>
      </c>
      <c r="C63" s="4"/>
      <c r="D63" s="4" t="s">
        <v>73</v>
      </c>
      <c r="E63" s="5">
        <v>45950</v>
      </c>
      <c r="F63" s="4" t="s">
        <v>182</v>
      </c>
      <c r="G63" s="4" t="s">
        <v>183</v>
      </c>
      <c r="H63" s="4" t="s">
        <v>184</v>
      </c>
      <c r="I63" s="6">
        <v>-35.22</v>
      </c>
    </row>
    <row r="64" spans="1:9" x14ac:dyDescent="0.3">
      <c r="A64" s="5">
        <v>45952</v>
      </c>
      <c r="B64" s="4" t="s">
        <v>64</v>
      </c>
      <c r="C64" s="4"/>
      <c r="D64" s="4" t="s">
        <v>74</v>
      </c>
      <c r="E64" s="5">
        <v>45950</v>
      </c>
      <c r="F64" s="4" t="s">
        <v>182</v>
      </c>
      <c r="G64" s="4" t="s">
        <v>183</v>
      </c>
      <c r="H64" s="4" t="s">
        <v>184</v>
      </c>
      <c r="I64" s="6">
        <v>-34.85</v>
      </c>
    </row>
    <row r="65" spans="1:9" x14ac:dyDescent="0.3">
      <c r="A65" s="3">
        <v>45960</v>
      </c>
      <c r="B65" s="4" t="s">
        <v>64</v>
      </c>
      <c r="C65" s="4"/>
      <c r="D65" s="4" t="s">
        <v>75</v>
      </c>
      <c r="E65" s="5">
        <v>45950</v>
      </c>
      <c r="F65" s="4" t="s">
        <v>182</v>
      </c>
      <c r="G65" s="4" t="s">
        <v>183</v>
      </c>
      <c r="H65" s="4" t="s">
        <v>184</v>
      </c>
      <c r="I65" s="6">
        <v>-34.799999999999997</v>
      </c>
    </row>
    <row r="66" spans="1:9" x14ac:dyDescent="0.3">
      <c r="A66" s="5">
        <v>45952</v>
      </c>
      <c r="B66" s="4" t="s">
        <v>64</v>
      </c>
      <c r="C66" s="4"/>
      <c r="D66" s="4" t="s">
        <v>76</v>
      </c>
      <c r="E66" s="5">
        <v>45950</v>
      </c>
      <c r="F66" s="4" t="s">
        <v>182</v>
      </c>
      <c r="G66" s="4" t="s">
        <v>183</v>
      </c>
      <c r="H66" s="4" t="s">
        <v>184</v>
      </c>
      <c r="I66" s="6">
        <v>-33.96</v>
      </c>
    </row>
    <row r="67" spans="1:9" x14ac:dyDescent="0.3">
      <c r="A67" s="5">
        <v>45952</v>
      </c>
      <c r="B67" s="4" t="s">
        <v>64</v>
      </c>
      <c r="C67" s="4"/>
      <c r="D67" s="4" t="s">
        <v>77</v>
      </c>
      <c r="E67" s="5">
        <v>45950</v>
      </c>
      <c r="F67" s="4" t="s">
        <v>182</v>
      </c>
      <c r="G67" s="4" t="s">
        <v>183</v>
      </c>
      <c r="H67" s="4" t="s">
        <v>184</v>
      </c>
      <c r="I67" s="6">
        <v>-33.96</v>
      </c>
    </row>
    <row r="68" spans="1:9" x14ac:dyDescent="0.3">
      <c r="A68" s="3">
        <v>45960</v>
      </c>
      <c r="B68" s="4" t="s">
        <v>64</v>
      </c>
      <c r="C68" s="4"/>
      <c r="D68" s="4" t="s">
        <v>78</v>
      </c>
      <c r="E68" s="5">
        <v>45950</v>
      </c>
      <c r="F68" s="4" t="s">
        <v>182</v>
      </c>
      <c r="G68" s="4" t="s">
        <v>183</v>
      </c>
      <c r="H68" s="4" t="s">
        <v>184</v>
      </c>
      <c r="I68" s="6">
        <v>-33.11</v>
      </c>
    </row>
    <row r="69" spans="1:9" x14ac:dyDescent="0.3">
      <c r="A69" s="5">
        <v>45952</v>
      </c>
      <c r="B69" s="4" t="s">
        <v>64</v>
      </c>
      <c r="C69" s="4"/>
      <c r="D69" s="4" t="s">
        <v>79</v>
      </c>
      <c r="E69" s="5">
        <v>45950</v>
      </c>
      <c r="F69" s="4" t="s">
        <v>182</v>
      </c>
      <c r="G69" s="4" t="s">
        <v>183</v>
      </c>
      <c r="H69" s="4" t="s">
        <v>184</v>
      </c>
      <c r="I69" s="6">
        <v>-33.04</v>
      </c>
    </row>
    <row r="70" spans="1:9" x14ac:dyDescent="0.3">
      <c r="A70" s="5">
        <v>45952</v>
      </c>
      <c r="B70" s="4" t="s">
        <v>64</v>
      </c>
      <c r="C70" s="4"/>
      <c r="D70" s="4" t="s">
        <v>80</v>
      </c>
      <c r="E70" s="5">
        <v>45950</v>
      </c>
      <c r="F70" s="4" t="s">
        <v>182</v>
      </c>
      <c r="G70" s="4" t="s">
        <v>183</v>
      </c>
      <c r="H70" s="4" t="s">
        <v>184</v>
      </c>
      <c r="I70" s="6">
        <v>-32.78</v>
      </c>
    </row>
    <row r="71" spans="1:9" x14ac:dyDescent="0.3">
      <c r="A71" s="5">
        <v>45952</v>
      </c>
      <c r="B71" s="4" t="s">
        <v>64</v>
      </c>
      <c r="C71" s="4"/>
      <c r="D71" s="4" t="s">
        <v>81</v>
      </c>
      <c r="E71" s="5">
        <v>45950</v>
      </c>
      <c r="F71" s="4" t="s">
        <v>182</v>
      </c>
      <c r="G71" s="4" t="s">
        <v>183</v>
      </c>
      <c r="H71" s="4" t="s">
        <v>184</v>
      </c>
      <c r="I71" s="6">
        <v>-32.75</v>
      </c>
    </row>
    <row r="72" spans="1:9" x14ac:dyDescent="0.3">
      <c r="A72" s="5">
        <v>45952</v>
      </c>
      <c r="B72" s="4" t="s">
        <v>64</v>
      </c>
      <c r="C72" s="4"/>
      <c r="D72" s="4" t="s">
        <v>82</v>
      </c>
      <c r="E72" s="5">
        <v>45950</v>
      </c>
      <c r="F72" s="4" t="s">
        <v>182</v>
      </c>
      <c r="G72" s="4" t="s">
        <v>183</v>
      </c>
      <c r="H72" s="4" t="s">
        <v>184</v>
      </c>
      <c r="I72" s="6">
        <v>-32.47</v>
      </c>
    </row>
    <row r="73" spans="1:9" x14ac:dyDescent="0.3">
      <c r="A73" s="5">
        <v>45952</v>
      </c>
      <c r="B73" s="4" t="s">
        <v>64</v>
      </c>
      <c r="C73" s="4"/>
      <c r="D73" s="4" t="s">
        <v>83</v>
      </c>
      <c r="E73" s="5">
        <v>45950</v>
      </c>
      <c r="F73" s="4" t="s">
        <v>182</v>
      </c>
      <c r="G73" s="4" t="s">
        <v>183</v>
      </c>
      <c r="H73" s="4" t="s">
        <v>184</v>
      </c>
      <c r="I73" s="6">
        <v>-31.3</v>
      </c>
    </row>
    <row r="74" spans="1:9" x14ac:dyDescent="0.3">
      <c r="A74" s="5">
        <v>45952</v>
      </c>
      <c r="B74" s="4" t="s">
        <v>64</v>
      </c>
      <c r="C74" s="4"/>
      <c r="D74" s="4" t="s">
        <v>84</v>
      </c>
      <c r="E74" s="5">
        <v>45950</v>
      </c>
      <c r="F74" s="4" t="s">
        <v>182</v>
      </c>
      <c r="G74" s="4" t="s">
        <v>183</v>
      </c>
      <c r="H74" s="4" t="s">
        <v>184</v>
      </c>
      <c r="I74" s="6">
        <v>-31.17</v>
      </c>
    </row>
    <row r="75" spans="1:9" x14ac:dyDescent="0.3">
      <c r="A75" s="3">
        <v>45960</v>
      </c>
      <c r="B75" s="4" t="s">
        <v>64</v>
      </c>
      <c r="C75" s="4"/>
      <c r="D75" s="4" t="s">
        <v>85</v>
      </c>
      <c r="E75" s="5">
        <v>45950</v>
      </c>
      <c r="F75" s="4" t="s">
        <v>182</v>
      </c>
      <c r="G75" s="4" t="s">
        <v>183</v>
      </c>
      <c r="H75" s="4" t="s">
        <v>184</v>
      </c>
      <c r="I75" s="6">
        <v>-31.17</v>
      </c>
    </row>
    <row r="76" spans="1:9" x14ac:dyDescent="0.3">
      <c r="A76" s="5">
        <v>45952</v>
      </c>
      <c r="B76" s="4" t="s">
        <v>64</v>
      </c>
      <c r="C76" s="4"/>
      <c r="D76" s="4" t="s">
        <v>86</v>
      </c>
      <c r="E76" s="5">
        <v>45950</v>
      </c>
      <c r="F76" s="4" t="s">
        <v>182</v>
      </c>
      <c r="G76" s="4" t="s">
        <v>183</v>
      </c>
      <c r="H76" s="4" t="s">
        <v>184</v>
      </c>
      <c r="I76" s="6">
        <v>-30.54</v>
      </c>
    </row>
    <row r="77" spans="1:9" x14ac:dyDescent="0.3">
      <c r="A77" s="3">
        <v>45960</v>
      </c>
      <c r="B77" s="4" t="s">
        <v>64</v>
      </c>
      <c r="C77" s="4"/>
      <c r="D77" s="4" t="s">
        <v>87</v>
      </c>
      <c r="E77" s="5">
        <v>45950</v>
      </c>
      <c r="F77" s="4" t="s">
        <v>182</v>
      </c>
      <c r="G77" s="4" t="s">
        <v>183</v>
      </c>
      <c r="H77" s="4" t="s">
        <v>184</v>
      </c>
      <c r="I77" s="6">
        <v>-29.67</v>
      </c>
    </row>
    <row r="78" spans="1:9" x14ac:dyDescent="0.3">
      <c r="A78" s="3">
        <v>45974</v>
      </c>
      <c r="B78" s="4" t="s">
        <v>64</v>
      </c>
      <c r="C78" s="4"/>
      <c r="D78" s="4" t="s">
        <v>88</v>
      </c>
      <c r="E78" s="5">
        <v>45950</v>
      </c>
      <c r="F78" s="4" t="s">
        <v>182</v>
      </c>
      <c r="G78" s="4" t="s">
        <v>183</v>
      </c>
      <c r="H78" s="4" t="s">
        <v>184</v>
      </c>
      <c r="I78" s="6">
        <v>-29.35</v>
      </c>
    </row>
    <row r="79" spans="1:9" x14ac:dyDescent="0.3">
      <c r="A79" s="3">
        <v>45974</v>
      </c>
      <c r="B79" s="4" t="s">
        <v>64</v>
      </c>
      <c r="C79" s="4"/>
      <c r="D79" s="4" t="s">
        <v>89</v>
      </c>
      <c r="E79" s="5">
        <v>45950</v>
      </c>
      <c r="F79" s="4" t="s">
        <v>182</v>
      </c>
      <c r="G79" s="4" t="s">
        <v>183</v>
      </c>
      <c r="H79" s="4" t="s">
        <v>184</v>
      </c>
      <c r="I79" s="6">
        <v>-28.97</v>
      </c>
    </row>
    <row r="80" spans="1:9" x14ac:dyDescent="0.3">
      <c r="A80" s="5">
        <v>45952</v>
      </c>
      <c r="B80" s="4" t="s">
        <v>64</v>
      </c>
      <c r="C80" s="4"/>
      <c r="D80" s="4" t="s">
        <v>90</v>
      </c>
      <c r="E80" s="5">
        <v>45950</v>
      </c>
      <c r="F80" s="4" t="s">
        <v>182</v>
      </c>
      <c r="G80" s="4" t="s">
        <v>183</v>
      </c>
      <c r="H80" s="4" t="s">
        <v>184</v>
      </c>
      <c r="I80" s="6">
        <v>-27.25</v>
      </c>
    </row>
    <row r="81" spans="1:9" x14ac:dyDescent="0.3">
      <c r="A81" s="3">
        <v>45967</v>
      </c>
      <c r="B81" s="4" t="s">
        <v>64</v>
      </c>
      <c r="C81" s="4"/>
      <c r="D81" s="4" t="s">
        <v>91</v>
      </c>
      <c r="E81" s="5">
        <v>45950</v>
      </c>
      <c r="F81" s="4" t="s">
        <v>182</v>
      </c>
      <c r="G81" s="4" t="s">
        <v>183</v>
      </c>
      <c r="H81" s="4" t="s">
        <v>184</v>
      </c>
      <c r="I81" s="6">
        <v>-26.22</v>
      </c>
    </row>
    <row r="82" spans="1:9" x14ac:dyDescent="0.3">
      <c r="A82" s="3">
        <v>45967</v>
      </c>
      <c r="B82" s="4" t="s">
        <v>64</v>
      </c>
      <c r="C82" s="4"/>
      <c r="D82" s="4" t="s">
        <v>92</v>
      </c>
      <c r="E82" s="5">
        <v>45950</v>
      </c>
      <c r="F82" s="4" t="s">
        <v>182</v>
      </c>
      <c r="G82" s="4" t="s">
        <v>183</v>
      </c>
      <c r="H82" s="4" t="s">
        <v>184</v>
      </c>
      <c r="I82" s="6">
        <v>-25.89</v>
      </c>
    </row>
    <row r="83" spans="1:9" x14ac:dyDescent="0.3">
      <c r="A83" s="3">
        <v>45974</v>
      </c>
      <c r="B83" s="4" t="s">
        <v>64</v>
      </c>
      <c r="C83" s="4"/>
      <c r="D83" s="4" t="s">
        <v>93</v>
      </c>
      <c r="E83" s="5">
        <v>45950</v>
      </c>
      <c r="F83" s="4" t="s">
        <v>182</v>
      </c>
      <c r="G83" s="4" t="s">
        <v>183</v>
      </c>
      <c r="H83" s="4" t="s">
        <v>184</v>
      </c>
      <c r="I83" s="6">
        <v>-25.25</v>
      </c>
    </row>
    <row r="84" spans="1:9" x14ac:dyDescent="0.3">
      <c r="A84" s="3">
        <v>45967</v>
      </c>
      <c r="B84" s="4" t="s">
        <v>64</v>
      </c>
      <c r="C84" s="4"/>
      <c r="D84" s="4" t="s">
        <v>94</v>
      </c>
      <c r="E84" s="5">
        <v>45950</v>
      </c>
      <c r="F84" s="4" t="s">
        <v>182</v>
      </c>
      <c r="G84" s="4" t="s">
        <v>183</v>
      </c>
      <c r="H84" s="4" t="s">
        <v>184</v>
      </c>
      <c r="I84" s="6">
        <v>-25.17</v>
      </c>
    </row>
    <row r="85" spans="1:9" x14ac:dyDescent="0.3">
      <c r="A85" s="3">
        <v>45974</v>
      </c>
      <c r="B85" s="4" t="s">
        <v>64</v>
      </c>
      <c r="C85" s="4"/>
      <c r="D85" s="4" t="s">
        <v>95</v>
      </c>
      <c r="E85" s="5">
        <v>45950</v>
      </c>
      <c r="F85" s="4" t="s">
        <v>182</v>
      </c>
      <c r="G85" s="4" t="s">
        <v>183</v>
      </c>
      <c r="H85" s="4" t="s">
        <v>184</v>
      </c>
      <c r="I85" s="6">
        <v>-24.62</v>
      </c>
    </row>
    <row r="86" spans="1:9" x14ac:dyDescent="0.3">
      <c r="A86" s="3">
        <v>45967</v>
      </c>
      <c r="B86" s="4" t="s">
        <v>64</v>
      </c>
      <c r="C86" s="4"/>
      <c r="D86" s="4" t="s">
        <v>96</v>
      </c>
      <c r="E86" s="5">
        <v>45950</v>
      </c>
      <c r="F86" s="4" t="s">
        <v>182</v>
      </c>
      <c r="G86" s="4" t="s">
        <v>183</v>
      </c>
      <c r="H86" s="4" t="s">
        <v>184</v>
      </c>
      <c r="I86" s="6">
        <v>-24.42</v>
      </c>
    </row>
    <row r="87" spans="1:9" x14ac:dyDescent="0.3">
      <c r="A87" s="3">
        <v>45967</v>
      </c>
      <c r="B87" s="4" t="s">
        <v>64</v>
      </c>
      <c r="C87" s="4"/>
      <c r="D87" s="4" t="s">
        <v>97</v>
      </c>
      <c r="E87" s="5">
        <v>45950</v>
      </c>
      <c r="F87" s="4" t="s">
        <v>182</v>
      </c>
      <c r="G87" s="4" t="s">
        <v>183</v>
      </c>
      <c r="H87" s="4" t="s">
        <v>184</v>
      </c>
      <c r="I87" s="6">
        <v>-24.19</v>
      </c>
    </row>
    <row r="88" spans="1:9" x14ac:dyDescent="0.3">
      <c r="A88" s="3">
        <v>45967</v>
      </c>
      <c r="B88" s="4" t="s">
        <v>64</v>
      </c>
      <c r="C88" s="4"/>
      <c r="D88" s="4" t="s">
        <v>98</v>
      </c>
      <c r="E88" s="5">
        <v>45950</v>
      </c>
      <c r="F88" s="4" t="s">
        <v>182</v>
      </c>
      <c r="G88" s="4" t="s">
        <v>183</v>
      </c>
      <c r="H88" s="4" t="s">
        <v>184</v>
      </c>
      <c r="I88" s="6">
        <v>-22.87</v>
      </c>
    </row>
    <row r="89" spans="1:9" x14ac:dyDescent="0.3">
      <c r="A89" s="3">
        <v>45967</v>
      </c>
      <c r="B89" s="4" t="s">
        <v>64</v>
      </c>
      <c r="C89" s="4"/>
      <c r="D89" s="4" t="s">
        <v>99</v>
      </c>
      <c r="E89" s="5">
        <v>45950</v>
      </c>
      <c r="F89" s="4" t="s">
        <v>182</v>
      </c>
      <c r="G89" s="4" t="s">
        <v>183</v>
      </c>
      <c r="H89" s="4" t="s">
        <v>184</v>
      </c>
      <c r="I89" s="6">
        <v>-21.77</v>
      </c>
    </row>
    <row r="90" spans="1:9" x14ac:dyDescent="0.3">
      <c r="A90" s="5">
        <v>45952</v>
      </c>
      <c r="B90" s="4" t="s">
        <v>64</v>
      </c>
      <c r="C90" s="4"/>
      <c r="D90" s="4" t="s">
        <v>100</v>
      </c>
      <c r="E90" s="5">
        <v>45950</v>
      </c>
      <c r="F90" s="4" t="s">
        <v>185</v>
      </c>
      <c r="G90" s="4" t="s">
        <v>186</v>
      </c>
      <c r="H90" s="4" t="s">
        <v>183</v>
      </c>
      <c r="I90" s="6">
        <v>0</v>
      </c>
    </row>
    <row r="91" spans="1:9" x14ac:dyDescent="0.3">
      <c r="A91" s="5">
        <v>45952</v>
      </c>
      <c r="B91" s="4" t="s">
        <v>64</v>
      </c>
      <c r="C91" s="4"/>
      <c r="D91" s="4" t="s">
        <v>101</v>
      </c>
      <c r="E91" s="5">
        <v>45950</v>
      </c>
      <c r="F91" s="4" t="s">
        <v>185</v>
      </c>
      <c r="G91" s="4" t="s">
        <v>186</v>
      </c>
      <c r="H91" s="4" t="s">
        <v>183</v>
      </c>
      <c r="I91" s="6">
        <v>0</v>
      </c>
    </row>
    <row r="92" spans="1:9" x14ac:dyDescent="0.3">
      <c r="A92" s="5">
        <v>45952</v>
      </c>
      <c r="B92" s="4" t="s">
        <v>64</v>
      </c>
      <c r="C92" s="4"/>
      <c r="D92" s="4" t="s">
        <v>102</v>
      </c>
      <c r="E92" s="5">
        <v>45950</v>
      </c>
      <c r="F92" s="4" t="s">
        <v>185</v>
      </c>
      <c r="G92" s="4" t="s">
        <v>186</v>
      </c>
      <c r="H92" s="4" t="s">
        <v>183</v>
      </c>
      <c r="I92" s="6">
        <v>0</v>
      </c>
    </row>
    <row r="93" spans="1:9" x14ac:dyDescent="0.3">
      <c r="A93" s="5">
        <v>45952</v>
      </c>
      <c r="B93" s="4" t="s">
        <v>64</v>
      </c>
      <c r="C93" s="4"/>
      <c r="D93" s="4" t="s">
        <v>103</v>
      </c>
      <c r="E93" s="5">
        <v>45950</v>
      </c>
      <c r="F93" s="4" t="s">
        <v>185</v>
      </c>
      <c r="G93" s="4" t="s">
        <v>186</v>
      </c>
      <c r="H93" s="4" t="s">
        <v>183</v>
      </c>
      <c r="I93" s="6">
        <v>0</v>
      </c>
    </row>
    <row r="94" spans="1:9" x14ac:dyDescent="0.3">
      <c r="A94" s="5">
        <v>45952</v>
      </c>
      <c r="B94" s="4" t="s">
        <v>64</v>
      </c>
      <c r="C94" s="4"/>
      <c r="D94" s="4" t="s">
        <v>104</v>
      </c>
      <c r="E94" s="5">
        <v>45950</v>
      </c>
      <c r="F94" s="4" t="s">
        <v>185</v>
      </c>
      <c r="G94" s="4" t="s">
        <v>186</v>
      </c>
      <c r="H94" s="4" t="s">
        <v>183</v>
      </c>
      <c r="I94" s="6">
        <v>0</v>
      </c>
    </row>
    <row r="95" spans="1:9" x14ac:dyDescent="0.3">
      <c r="A95" s="5">
        <v>45952</v>
      </c>
      <c r="B95" s="4" t="s">
        <v>64</v>
      </c>
      <c r="C95" s="4"/>
      <c r="D95" s="4" t="s">
        <v>105</v>
      </c>
      <c r="E95" s="5">
        <v>45950</v>
      </c>
      <c r="F95" s="4" t="s">
        <v>185</v>
      </c>
      <c r="G95" s="4" t="s">
        <v>186</v>
      </c>
      <c r="H95" s="4" t="s">
        <v>183</v>
      </c>
      <c r="I95" s="6">
        <v>0</v>
      </c>
    </row>
    <row r="96" spans="1:9" x14ac:dyDescent="0.3">
      <c r="A96" s="5">
        <v>45952</v>
      </c>
      <c r="B96" s="4" t="s">
        <v>64</v>
      </c>
      <c r="C96" s="4"/>
      <c r="D96" s="4" t="s">
        <v>106</v>
      </c>
      <c r="E96" s="5">
        <v>45950</v>
      </c>
      <c r="F96" s="4" t="s">
        <v>185</v>
      </c>
      <c r="G96" s="4" t="s">
        <v>187</v>
      </c>
      <c r="H96" s="4" t="s">
        <v>183</v>
      </c>
      <c r="I96" s="6">
        <v>0</v>
      </c>
    </row>
    <row r="97" spans="1:9" x14ac:dyDescent="0.3">
      <c r="A97" s="5">
        <v>45952</v>
      </c>
      <c r="B97" s="4" t="s">
        <v>64</v>
      </c>
      <c r="C97" s="4"/>
      <c r="D97" s="4" t="s">
        <v>107</v>
      </c>
      <c r="E97" s="5">
        <v>45950</v>
      </c>
      <c r="F97" s="4" t="s">
        <v>185</v>
      </c>
      <c r="G97" s="4" t="s">
        <v>188</v>
      </c>
      <c r="H97" s="4" t="s">
        <v>183</v>
      </c>
      <c r="I97" s="6">
        <v>0</v>
      </c>
    </row>
    <row r="98" spans="1:9" x14ac:dyDescent="0.3">
      <c r="A98" s="5">
        <v>45952</v>
      </c>
      <c r="B98" s="4" t="s">
        <v>64</v>
      </c>
      <c r="C98" s="4"/>
      <c r="D98" s="4" t="s">
        <v>108</v>
      </c>
      <c r="E98" s="5">
        <v>45950</v>
      </c>
      <c r="F98" s="4" t="s">
        <v>185</v>
      </c>
      <c r="G98" s="4" t="s">
        <v>186</v>
      </c>
      <c r="H98" s="4" t="s">
        <v>183</v>
      </c>
      <c r="I98" s="6">
        <v>0</v>
      </c>
    </row>
    <row r="99" spans="1:9" x14ac:dyDescent="0.3">
      <c r="A99" s="5">
        <v>45952</v>
      </c>
      <c r="B99" s="4" t="s">
        <v>64</v>
      </c>
      <c r="C99" s="4"/>
      <c r="D99" s="4" t="s">
        <v>109</v>
      </c>
      <c r="E99" s="5">
        <v>45950</v>
      </c>
      <c r="F99" s="4" t="s">
        <v>185</v>
      </c>
      <c r="G99" s="4" t="s">
        <v>189</v>
      </c>
      <c r="H99" s="4" t="s">
        <v>183</v>
      </c>
      <c r="I99" s="6">
        <v>0</v>
      </c>
    </row>
    <row r="100" spans="1:9" x14ac:dyDescent="0.3">
      <c r="A100" s="5">
        <v>45952</v>
      </c>
      <c r="B100" s="4" t="s">
        <v>64</v>
      </c>
      <c r="C100" s="4"/>
      <c r="D100" s="4" t="s">
        <v>110</v>
      </c>
      <c r="E100" s="5">
        <v>45950</v>
      </c>
      <c r="F100" s="4" t="s">
        <v>185</v>
      </c>
      <c r="G100" s="4" t="s">
        <v>187</v>
      </c>
      <c r="H100" s="4" t="s">
        <v>183</v>
      </c>
      <c r="I100" s="6">
        <v>0</v>
      </c>
    </row>
    <row r="101" spans="1:9" x14ac:dyDescent="0.3">
      <c r="A101" s="5">
        <v>45952</v>
      </c>
      <c r="B101" s="4" t="s">
        <v>64</v>
      </c>
      <c r="C101" s="4"/>
      <c r="D101" s="4" t="s">
        <v>111</v>
      </c>
      <c r="E101" s="5">
        <v>45950</v>
      </c>
      <c r="F101" s="4" t="s">
        <v>185</v>
      </c>
      <c r="G101" s="4" t="s">
        <v>186</v>
      </c>
      <c r="H101" s="4" t="s">
        <v>183</v>
      </c>
      <c r="I101" s="6">
        <v>0</v>
      </c>
    </row>
    <row r="102" spans="1:9" x14ac:dyDescent="0.3">
      <c r="A102" s="5">
        <v>45952</v>
      </c>
      <c r="B102" s="4" t="s">
        <v>64</v>
      </c>
      <c r="C102" s="4"/>
      <c r="D102" s="4" t="s">
        <v>112</v>
      </c>
      <c r="E102" s="5">
        <v>45950</v>
      </c>
      <c r="F102" s="4" t="s">
        <v>185</v>
      </c>
      <c r="G102" s="4" t="s">
        <v>186</v>
      </c>
      <c r="H102" s="4" t="s">
        <v>183</v>
      </c>
      <c r="I102" s="6">
        <v>0</v>
      </c>
    </row>
    <row r="103" spans="1:9" x14ac:dyDescent="0.3">
      <c r="A103" s="5">
        <v>45952</v>
      </c>
      <c r="B103" s="4" t="s">
        <v>64</v>
      </c>
      <c r="C103" s="4"/>
      <c r="D103" s="4" t="s">
        <v>113</v>
      </c>
      <c r="E103" s="5">
        <v>45950</v>
      </c>
      <c r="F103" s="4" t="s">
        <v>185</v>
      </c>
      <c r="G103" s="4" t="s">
        <v>189</v>
      </c>
      <c r="H103" s="4" t="s">
        <v>183</v>
      </c>
      <c r="I103" s="6">
        <v>0</v>
      </c>
    </row>
    <row r="104" spans="1:9" x14ac:dyDescent="0.3">
      <c r="A104" s="5">
        <v>45952</v>
      </c>
      <c r="B104" s="4" t="s">
        <v>64</v>
      </c>
      <c r="C104" s="4"/>
      <c r="D104" s="4" t="s">
        <v>114</v>
      </c>
      <c r="E104" s="5">
        <v>45950</v>
      </c>
      <c r="F104" s="4" t="s">
        <v>185</v>
      </c>
      <c r="G104" s="4" t="s">
        <v>186</v>
      </c>
      <c r="H104" s="4" t="s">
        <v>183</v>
      </c>
      <c r="I104" s="6">
        <v>0</v>
      </c>
    </row>
    <row r="105" spans="1:9" x14ac:dyDescent="0.3">
      <c r="A105" s="5">
        <v>45952</v>
      </c>
      <c r="B105" s="4" t="s">
        <v>64</v>
      </c>
      <c r="C105" s="4"/>
      <c r="D105" s="4" t="s">
        <v>115</v>
      </c>
      <c r="E105" s="5">
        <v>45950</v>
      </c>
      <c r="F105" s="4" t="s">
        <v>185</v>
      </c>
      <c r="G105" s="4" t="s">
        <v>188</v>
      </c>
      <c r="H105" s="4" t="s">
        <v>183</v>
      </c>
      <c r="I105" s="6">
        <v>0</v>
      </c>
    </row>
    <row r="106" spans="1:9" x14ac:dyDescent="0.3">
      <c r="A106" s="5">
        <v>45952</v>
      </c>
      <c r="B106" s="4" t="s">
        <v>64</v>
      </c>
      <c r="C106" s="4"/>
      <c r="D106" s="4" t="s">
        <v>116</v>
      </c>
      <c r="E106" s="5">
        <v>45950</v>
      </c>
      <c r="F106" s="4" t="s">
        <v>185</v>
      </c>
      <c r="G106" s="4" t="s">
        <v>189</v>
      </c>
      <c r="H106" s="4" t="s">
        <v>183</v>
      </c>
      <c r="I106" s="6">
        <v>0</v>
      </c>
    </row>
    <row r="107" spans="1:9" x14ac:dyDescent="0.3">
      <c r="A107" s="5">
        <v>45952</v>
      </c>
      <c r="B107" s="4" t="s">
        <v>64</v>
      </c>
      <c r="C107" s="4"/>
      <c r="D107" s="4" t="s">
        <v>117</v>
      </c>
      <c r="E107" s="5">
        <v>45950</v>
      </c>
      <c r="F107" s="4" t="s">
        <v>185</v>
      </c>
      <c r="G107" s="4" t="s">
        <v>186</v>
      </c>
      <c r="H107" s="4" t="s">
        <v>183</v>
      </c>
      <c r="I107" s="6">
        <v>0</v>
      </c>
    </row>
    <row r="108" spans="1:9" x14ac:dyDescent="0.3">
      <c r="A108" s="5">
        <v>45952</v>
      </c>
      <c r="B108" s="4" t="s">
        <v>64</v>
      </c>
      <c r="C108" s="4"/>
      <c r="D108" s="4" t="s">
        <v>118</v>
      </c>
      <c r="E108" s="5">
        <v>45950</v>
      </c>
      <c r="F108" s="4" t="s">
        <v>185</v>
      </c>
      <c r="G108" s="4" t="s">
        <v>189</v>
      </c>
      <c r="H108" s="4" t="s">
        <v>183</v>
      </c>
      <c r="I108" s="6">
        <v>0</v>
      </c>
    </row>
    <row r="109" spans="1:9" x14ac:dyDescent="0.3">
      <c r="A109" s="5">
        <v>45952</v>
      </c>
      <c r="B109" s="4" t="s">
        <v>64</v>
      </c>
      <c r="C109" s="4"/>
      <c r="D109" s="4" t="s">
        <v>119</v>
      </c>
      <c r="E109" s="5">
        <v>45950</v>
      </c>
      <c r="F109" s="4" t="s">
        <v>185</v>
      </c>
      <c r="G109" s="4" t="s">
        <v>186</v>
      </c>
      <c r="H109" s="4" t="s">
        <v>183</v>
      </c>
      <c r="I109" s="6">
        <v>0</v>
      </c>
    </row>
    <row r="110" spans="1:9" x14ac:dyDescent="0.3">
      <c r="A110" s="5">
        <v>45952</v>
      </c>
      <c r="B110" s="4" t="s">
        <v>64</v>
      </c>
      <c r="C110" s="4"/>
      <c r="D110" s="4" t="s">
        <v>120</v>
      </c>
      <c r="E110" s="5">
        <v>45950</v>
      </c>
      <c r="F110" s="4" t="s">
        <v>185</v>
      </c>
      <c r="G110" s="4" t="s">
        <v>188</v>
      </c>
      <c r="H110" s="4" t="s">
        <v>183</v>
      </c>
      <c r="I110" s="6">
        <v>0</v>
      </c>
    </row>
    <row r="111" spans="1:9" x14ac:dyDescent="0.3">
      <c r="A111" s="5">
        <v>45952</v>
      </c>
      <c r="B111" s="4" t="s">
        <v>64</v>
      </c>
      <c r="C111" s="4"/>
      <c r="D111" s="4" t="s">
        <v>121</v>
      </c>
      <c r="E111" s="5">
        <v>45950</v>
      </c>
      <c r="F111" s="4" t="s">
        <v>185</v>
      </c>
      <c r="G111" s="4" t="s">
        <v>186</v>
      </c>
      <c r="H111" s="4" t="s">
        <v>183</v>
      </c>
      <c r="I111" s="6">
        <v>0</v>
      </c>
    </row>
    <row r="112" spans="1:9" x14ac:dyDescent="0.3">
      <c r="A112" s="5">
        <v>45952</v>
      </c>
      <c r="B112" s="4" t="s">
        <v>64</v>
      </c>
      <c r="C112" s="4"/>
      <c r="D112" s="4" t="s">
        <v>122</v>
      </c>
      <c r="E112" s="5">
        <v>45950</v>
      </c>
      <c r="F112" s="4" t="s">
        <v>185</v>
      </c>
      <c r="G112" s="4" t="s">
        <v>189</v>
      </c>
      <c r="H112" s="4" t="s">
        <v>183</v>
      </c>
      <c r="I112" s="6">
        <v>0</v>
      </c>
    </row>
    <row r="113" spans="1:9" x14ac:dyDescent="0.3">
      <c r="A113" s="5">
        <v>45952</v>
      </c>
      <c r="B113" s="4" t="s">
        <v>64</v>
      </c>
      <c r="C113" s="4"/>
      <c r="D113" s="4" t="s">
        <v>123</v>
      </c>
      <c r="E113" s="5">
        <v>45950</v>
      </c>
      <c r="F113" s="4" t="s">
        <v>185</v>
      </c>
      <c r="G113" s="4" t="s">
        <v>189</v>
      </c>
      <c r="H113" s="4" t="s">
        <v>183</v>
      </c>
      <c r="I113" s="6">
        <v>0</v>
      </c>
    </row>
    <row r="114" spans="1:9" x14ac:dyDescent="0.3">
      <c r="A114" s="5">
        <v>45952</v>
      </c>
      <c r="B114" s="4" t="s">
        <v>64</v>
      </c>
      <c r="C114" s="4"/>
      <c r="D114" s="4" t="s">
        <v>124</v>
      </c>
      <c r="E114" s="5">
        <v>45950</v>
      </c>
      <c r="F114" s="4" t="s">
        <v>185</v>
      </c>
      <c r="G114" s="4" t="s">
        <v>186</v>
      </c>
      <c r="H114" s="4" t="s">
        <v>183</v>
      </c>
      <c r="I114" s="6">
        <v>0</v>
      </c>
    </row>
    <row r="115" spans="1:9" x14ac:dyDescent="0.3">
      <c r="A115" s="5">
        <v>45952</v>
      </c>
      <c r="B115" s="4" t="s">
        <v>64</v>
      </c>
      <c r="C115" s="4"/>
      <c r="D115" s="4" t="s">
        <v>125</v>
      </c>
      <c r="E115" s="5">
        <v>45950</v>
      </c>
      <c r="F115" s="4" t="s">
        <v>185</v>
      </c>
      <c r="G115" s="4" t="s">
        <v>187</v>
      </c>
      <c r="H115" s="4" t="s">
        <v>183</v>
      </c>
      <c r="I115" s="6">
        <v>0</v>
      </c>
    </row>
    <row r="116" spans="1:9" x14ac:dyDescent="0.3">
      <c r="A116" s="5">
        <v>45952</v>
      </c>
      <c r="B116" s="4" t="s">
        <v>64</v>
      </c>
      <c r="C116" s="4"/>
      <c r="D116" s="4" t="s">
        <v>126</v>
      </c>
      <c r="E116" s="5">
        <v>45950</v>
      </c>
      <c r="F116" s="4" t="s">
        <v>185</v>
      </c>
      <c r="G116" s="4" t="s">
        <v>186</v>
      </c>
      <c r="H116" s="4" t="s">
        <v>183</v>
      </c>
      <c r="I116" s="6">
        <v>0</v>
      </c>
    </row>
    <row r="117" spans="1:9" x14ac:dyDescent="0.3">
      <c r="A117" s="5">
        <v>45952</v>
      </c>
      <c r="B117" s="4" t="s">
        <v>64</v>
      </c>
      <c r="C117" s="4"/>
      <c r="D117" s="4" t="s">
        <v>127</v>
      </c>
      <c r="E117" s="5">
        <v>45950</v>
      </c>
      <c r="F117" s="4" t="s">
        <v>185</v>
      </c>
      <c r="G117" s="4" t="s">
        <v>186</v>
      </c>
      <c r="H117" s="4" t="s">
        <v>183</v>
      </c>
      <c r="I117" s="6">
        <v>0</v>
      </c>
    </row>
    <row r="118" spans="1:9" x14ac:dyDescent="0.3">
      <c r="A118" s="5">
        <v>45952</v>
      </c>
      <c r="B118" s="4" t="s">
        <v>64</v>
      </c>
      <c r="C118" s="4"/>
      <c r="D118" s="4" t="s">
        <v>128</v>
      </c>
      <c r="E118" s="5">
        <v>45950</v>
      </c>
      <c r="F118" s="4" t="s">
        <v>185</v>
      </c>
      <c r="G118" s="4" t="s">
        <v>186</v>
      </c>
      <c r="H118" s="4" t="s">
        <v>183</v>
      </c>
      <c r="I118" s="6">
        <v>0</v>
      </c>
    </row>
    <row r="119" spans="1:9" x14ac:dyDescent="0.3">
      <c r="A119" s="5">
        <v>45952</v>
      </c>
      <c r="B119" s="4" t="s">
        <v>64</v>
      </c>
      <c r="C119" s="4"/>
      <c r="D119" s="4" t="s">
        <v>129</v>
      </c>
      <c r="E119" s="5">
        <v>45950</v>
      </c>
      <c r="F119" s="4" t="s">
        <v>185</v>
      </c>
      <c r="G119" s="4" t="s">
        <v>186</v>
      </c>
      <c r="H119" s="4" t="s">
        <v>183</v>
      </c>
      <c r="I119" s="6">
        <v>0</v>
      </c>
    </row>
    <row r="120" spans="1:9" x14ac:dyDescent="0.3">
      <c r="A120" s="5">
        <v>45952</v>
      </c>
      <c r="B120" s="4" t="s">
        <v>64</v>
      </c>
      <c r="C120" s="4"/>
      <c r="D120" s="4" t="s">
        <v>130</v>
      </c>
      <c r="E120" s="5">
        <v>45950</v>
      </c>
      <c r="F120" s="4" t="s">
        <v>185</v>
      </c>
      <c r="G120" s="4" t="s">
        <v>190</v>
      </c>
      <c r="H120" s="4" t="s">
        <v>183</v>
      </c>
      <c r="I120" s="6">
        <v>0</v>
      </c>
    </row>
    <row r="121" spans="1:9" x14ac:dyDescent="0.3">
      <c r="A121" s="5">
        <v>45952</v>
      </c>
      <c r="B121" s="4" t="s">
        <v>64</v>
      </c>
      <c r="C121" s="4"/>
      <c r="D121" s="4" t="s">
        <v>131</v>
      </c>
      <c r="E121" s="5">
        <v>45950</v>
      </c>
      <c r="F121" s="4" t="s">
        <v>185</v>
      </c>
      <c r="G121" s="4" t="s">
        <v>186</v>
      </c>
      <c r="H121" s="4" t="s">
        <v>183</v>
      </c>
      <c r="I121" s="6">
        <v>0</v>
      </c>
    </row>
    <row r="122" spans="1:9" x14ac:dyDescent="0.3">
      <c r="A122" s="5">
        <v>45952</v>
      </c>
      <c r="B122" s="4" t="s">
        <v>64</v>
      </c>
      <c r="C122" s="4"/>
      <c r="D122" s="4" t="s">
        <v>132</v>
      </c>
      <c r="E122" s="5">
        <v>45950</v>
      </c>
      <c r="F122" s="4" t="s">
        <v>185</v>
      </c>
      <c r="G122" s="4" t="s">
        <v>186</v>
      </c>
      <c r="H122" s="4" t="s">
        <v>183</v>
      </c>
      <c r="I122" s="6">
        <v>0</v>
      </c>
    </row>
    <row r="123" spans="1:9" x14ac:dyDescent="0.3">
      <c r="A123" s="5">
        <v>45952</v>
      </c>
      <c r="B123" s="4" t="s">
        <v>64</v>
      </c>
      <c r="C123" s="4"/>
      <c r="D123" s="4" t="s">
        <v>133</v>
      </c>
      <c r="E123" s="5">
        <v>45950</v>
      </c>
      <c r="F123" s="4" t="s">
        <v>185</v>
      </c>
      <c r="G123" s="4" t="s">
        <v>188</v>
      </c>
      <c r="H123" s="4" t="s">
        <v>183</v>
      </c>
      <c r="I123" s="6">
        <v>0</v>
      </c>
    </row>
    <row r="124" spans="1:9" x14ac:dyDescent="0.3">
      <c r="A124" s="3">
        <v>45960</v>
      </c>
      <c r="B124" s="4" t="s">
        <v>64</v>
      </c>
      <c r="C124" s="4"/>
      <c r="D124" s="4" t="s">
        <v>134</v>
      </c>
      <c r="E124" s="5">
        <v>45950</v>
      </c>
      <c r="F124" s="4" t="s">
        <v>185</v>
      </c>
      <c r="G124" s="4" t="s">
        <v>190</v>
      </c>
      <c r="H124" s="4" t="s">
        <v>183</v>
      </c>
      <c r="I124" s="6">
        <v>0</v>
      </c>
    </row>
    <row r="125" spans="1:9" x14ac:dyDescent="0.3">
      <c r="A125" s="3">
        <v>45960</v>
      </c>
      <c r="B125" s="4" t="s">
        <v>64</v>
      </c>
      <c r="C125" s="4"/>
      <c r="D125" s="4" t="s">
        <v>135</v>
      </c>
      <c r="E125" s="5">
        <v>45950</v>
      </c>
      <c r="F125" s="4" t="s">
        <v>185</v>
      </c>
      <c r="G125" s="4" t="s">
        <v>186</v>
      </c>
      <c r="H125" s="4" t="s">
        <v>183</v>
      </c>
      <c r="I125" s="6">
        <v>0</v>
      </c>
    </row>
    <row r="126" spans="1:9" x14ac:dyDescent="0.3">
      <c r="A126" s="3">
        <v>45960</v>
      </c>
      <c r="B126" s="4" t="s">
        <v>64</v>
      </c>
      <c r="C126" s="4"/>
      <c r="D126" s="4" t="s">
        <v>136</v>
      </c>
      <c r="E126" s="5">
        <v>45950</v>
      </c>
      <c r="F126" s="4" t="s">
        <v>185</v>
      </c>
      <c r="G126" s="4" t="s">
        <v>186</v>
      </c>
      <c r="H126" s="4" t="s">
        <v>183</v>
      </c>
      <c r="I126" s="6">
        <v>0</v>
      </c>
    </row>
    <row r="127" spans="1:9" x14ac:dyDescent="0.3">
      <c r="A127" s="3">
        <v>45960</v>
      </c>
      <c r="B127" s="4" t="s">
        <v>64</v>
      </c>
      <c r="C127" s="4"/>
      <c r="D127" s="4" t="s">
        <v>137</v>
      </c>
      <c r="E127" s="5">
        <v>45950</v>
      </c>
      <c r="F127" s="4" t="s">
        <v>185</v>
      </c>
      <c r="G127" s="4" t="s">
        <v>188</v>
      </c>
      <c r="H127" s="4" t="s">
        <v>183</v>
      </c>
      <c r="I127" s="6">
        <v>0</v>
      </c>
    </row>
    <row r="128" spans="1:9" x14ac:dyDescent="0.3">
      <c r="A128" s="3">
        <v>45960</v>
      </c>
      <c r="B128" s="4" t="s">
        <v>64</v>
      </c>
      <c r="C128" s="4"/>
      <c r="D128" s="4" t="s">
        <v>138</v>
      </c>
      <c r="E128" s="5">
        <v>45950</v>
      </c>
      <c r="F128" s="4" t="s">
        <v>185</v>
      </c>
      <c r="G128" s="4" t="s">
        <v>186</v>
      </c>
      <c r="H128" s="4" t="s">
        <v>183</v>
      </c>
      <c r="I128" s="6">
        <v>0</v>
      </c>
    </row>
    <row r="129" spans="1:9" x14ac:dyDescent="0.3">
      <c r="A129" s="3">
        <v>45960</v>
      </c>
      <c r="B129" s="4" t="s">
        <v>64</v>
      </c>
      <c r="C129" s="4"/>
      <c r="D129" s="4" t="s">
        <v>139</v>
      </c>
      <c r="E129" s="5">
        <v>45950</v>
      </c>
      <c r="F129" s="4" t="s">
        <v>185</v>
      </c>
      <c r="G129" s="4" t="s">
        <v>186</v>
      </c>
      <c r="H129" s="4" t="s">
        <v>183</v>
      </c>
      <c r="I129" s="6">
        <v>0</v>
      </c>
    </row>
    <row r="130" spans="1:9" x14ac:dyDescent="0.3">
      <c r="A130" s="3">
        <v>45960</v>
      </c>
      <c r="B130" s="4" t="s">
        <v>64</v>
      </c>
      <c r="C130" s="4"/>
      <c r="D130" s="4" t="s">
        <v>140</v>
      </c>
      <c r="E130" s="5">
        <v>45950</v>
      </c>
      <c r="F130" s="4" t="s">
        <v>185</v>
      </c>
      <c r="G130" s="4" t="s">
        <v>187</v>
      </c>
      <c r="H130" s="4" t="s">
        <v>183</v>
      </c>
      <c r="I130" s="6">
        <v>0</v>
      </c>
    </row>
    <row r="131" spans="1:9" x14ac:dyDescent="0.3">
      <c r="A131" s="3">
        <v>45960</v>
      </c>
      <c r="B131" s="4" t="s">
        <v>64</v>
      </c>
      <c r="C131" s="4"/>
      <c r="D131" s="4" t="s">
        <v>141</v>
      </c>
      <c r="E131" s="5">
        <v>45950</v>
      </c>
      <c r="F131" s="4" t="s">
        <v>185</v>
      </c>
      <c r="G131" s="4" t="s">
        <v>188</v>
      </c>
      <c r="H131" s="4" t="s">
        <v>183</v>
      </c>
      <c r="I131" s="6">
        <v>0</v>
      </c>
    </row>
    <row r="132" spans="1:9" x14ac:dyDescent="0.3">
      <c r="A132" s="3">
        <v>45960</v>
      </c>
      <c r="B132" s="4" t="s">
        <v>64</v>
      </c>
      <c r="C132" s="4"/>
      <c r="D132" s="4" t="s">
        <v>142</v>
      </c>
      <c r="E132" s="5">
        <v>45950</v>
      </c>
      <c r="F132" s="4" t="s">
        <v>185</v>
      </c>
      <c r="G132" s="4" t="s">
        <v>190</v>
      </c>
      <c r="H132" s="4" t="s">
        <v>183</v>
      </c>
      <c r="I132" s="6">
        <v>0</v>
      </c>
    </row>
    <row r="133" spans="1:9" x14ac:dyDescent="0.3">
      <c r="A133" s="3">
        <v>45960</v>
      </c>
      <c r="B133" s="4" t="s">
        <v>64</v>
      </c>
      <c r="C133" s="4"/>
      <c r="D133" s="4" t="s">
        <v>143</v>
      </c>
      <c r="E133" s="5">
        <v>45950</v>
      </c>
      <c r="F133" s="4" t="s">
        <v>185</v>
      </c>
      <c r="G133" s="4" t="s">
        <v>190</v>
      </c>
      <c r="H133" s="4" t="s">
        <v>183</v>
      </c>
      <c r="I133" s="6">
        <v>0</v>
      </c>
    </row>
    <row r="134" spans="1:9" x14ac:dyDescent="0.3">
      <c r="A134" s="3">
        <v>45960</v>
      </c>
      <c r="B134" s="4" t="s">
        <v>64</v>
      </c>
      <c r="C134" s="4"/>
      <c r="D134" s="4" t="s">
        <v>144</v>
      </c>
      <c r="E134" s="5">
        <v>45950</v>
      </c>
      <c r="F134" s="4" t="s">
        <v>185</v>
      </c>
      <c r="G134" s="4" t="s">
        <v>190</v>
      </c>
      <c r="H134" s="4" t="s">
        <v>183</v>
      </c>
      <c r="I134" s="6">
        <v>0</v>
      </c>
    </row>
    <row r="135" spans="1:9" x14ac:dyDescent="0.3">
      <c r="A135" s="3">
        <v>45960</v>
      </c>
      <c r="B135" s="4" t="s">
        <v>64</v>
      </c>
      <c r="C135" s="4"/>
      <c r="D135" s="4" t="s">
        <v>145</v>
      </c>
      <c r="E135" s="5">
        <v>45950</v>
      </c>
      <c r="F135" s="4" t="s">
        <v>185</v>
      </c>
      <c r="G135" s="4" t="s">
        <v>190</v>
      </c>
      <c r="H135" s="4" t="s">
        <v>183</v>
      </c>
      <c r="I135" s="6">
        <v>0</v>
      </c>
    </row>
    <row r="136" spans="1:9" x14ac:dyDescent="0.3">
      <c r="A136" s="3">
        <v>45960</v>
      </c>
      <c r="B136" s="4" t="s">
        <v>64</v>
      </c>
      <c r="C136" s="4"/>
      <c r="D136" s="4" t="s">
        <v>146</v>
      </c>
      <c r="E136" s="5">
        <v>45950</v>
      </c>
      <c r="F136" s="4" t="s">
        <v>185</v>
      </c>
      <c r="G136" s="4" t="s">
        <v>188</v>
      </c>
      <c r="H136" s="4" t="s">
        <v>183</v>
      </c>
      <c r="I136" s="6">
        <v>0</v>
      </c>
    </row>
    <row r="137" spans="1:9" x14ac:dyDescent="0.3">
      <c r="A137" s="3">
        <v>45960</v>
      </c>
      <c r="B137" s="4" t="s">
        <v>64</v>
      </c>
      <c r="C137" s="4"/>
      <c r="D137" s="4" t="s">
        <v>147</v>
      </c>
      <c r="E137" s="5">
        <v>45950</v>
      </c>
      <c r="F137" s="4" t="s">
        <v>185</v>
      </c>
      <c r="G137" s="4" t="s">
        <v>186</v>
      </c>
      <c r="H137" s="4" t="s">
        <v>183</v>
      </c>
      <c r="I137" s="6">
        <v>0</v>
      </c>
    </row>
    <row r="138" spans="1:9" x14ac:dyDescent="0.3">
      <c r="A138" s="3">
        <v>45960</v>
      </c>
      <c r="B138" s="4" t="s">
        <v>64</v>
      </c>
      <c r="C138" s="4"/>
      <c r="D138" s="4" t="s">
        <v>148</v>
      </c>
      <c r="E138" s="5">
        <v>45950</v>
      </c>
      <c r="F138" s="4" t="s">
        <v>185</v>
      </c>
      <c r="G138" s="4" t="s">
        <v>186</v>
      </c>
      <c r="H138" s="4" t="s">
        <v>183</v>
      </c>
      <c r="I138" s="6">
        <v>0</v>
      </c>
    </row>
    <row r="139" spans="1:9" x14ac:dyDescent="0.3">
      <c r="A139" s="3">
        <v>45960</v>
      </c>
      <c r="B139" s="4" t="s">
        <v>64</v>
      </c>
      <c r="C139" s="4"/>
      <c r="D139" s="4" t="s">
        <v>149</v>
      </c>
      <c r="E139" s="5">
        <v>45950</v>
      </c>
      <c r="F139" s="4" t="s">
        <v>185</v>
      </c>
      <c r="G139" s="4" t="s">
        <v>187</v>
      </c>
      <c r="H139" s="4" t="s">
        <v>183</v>
      </c>
      <c r="I139" s="6">
        <v>0</v>
      </c>
    </row>
    <row r="140" spans="1:9" x14ac:dyDescent="0.3">
      <c r="A140" s="3">
        <v>45960</v>
      </c>
      <c r="B140" s="4" t="s">
        <v>64</v>
      </c>
      <c r="C140" s="4"/>
      <c r="D140" s="4" t="s">
        <v>150</v>
      </c>
      <c r="E140" s="5">
        <v>45950</v>
      </c>
      <c r="F140" s="4" t="s">
        <v>185</v>
      </c>
      <c r="G140" s="4" t="s">
        <v>186</v>
      </c>
      <c r="H140" s="4" t="s">
        <v>183</v>
      </c>
      <c r="I140" s="6">
        <v>0</v>
      </c>
    </row>
    <row r="141" spans="1:9" x14ac:dyDescent="0.3">
      <c r="A141" s="3">
        <v>45960</v>
      </c>
      <c r="B141" s="4" t="s">
        <v>64</v>
      </c>
      <c r="C141" s="4"/>
      <c r="D141" s="4" t="s">
        <v>151</v>
      </c>
      <c r="E141" s="5">
        <v>45950</v>
      </c>
      <c r="F141" s="4" t="s">
        <v>185</v>
      </c>
      <c r="G141" s="4" t="s">
        <v>187</v>
      </c>
      <c r="H141" s="4" t="s">
        <v>183</v>
      </c>
      <c r="I141" s="6">
        <v>0</v>
      </c>
    </row>
    <row r="142" spans="1:9" x14ac:dyDescent="0.3">
      <c r="A142" s="3">
        <v>45960</v>
      </c>
      <c r="B142" s="4" t="s">
        <v>64</v>
      </c>
      <c r="C142" s="4"/>
      <c r="D142" s="4" t="s">
        <v>152</v>
      </c>
      <c r="E142" s="5">
        <v>45950</v>
      </c>
      <c r="F142" s="4" t="s">
        <v>185</v>
      </c>
      <c r="G142" s="4" t="s">
        <v>189</v>
      </c>
      <c r="H142" s="4" t="s">
        <v>183</v>
      </c>
      <c r="I142" s="6">
        <v>0</v>
      </c>
    </row>
    <row r="143" spans="1:9" x14ac:dyDescent="0.3">
      <c r="A143" s="3">
        <v>45960</v>
      </c>
      <c r="B143" s="4" t="s">
        <v>64</v>
      </c>
      <c r="C143" s="4"/>
      <c r="D143" s="4" t="s">
        <v>153</v>
      </c>
      <c r="E143" s="5">
        <v>45950</v>
      </c>
      <c r="F143" s="4" t="s">
        <v>185</v>
      </c>
      <c r="G143" s="4" t="s">
        <v>189</v>
      </c>
      <c r="H143" s="4" t="s">
        <v>183</v>
      </c>
      <c r="I143" s="6">
        <v>0</v>
      </c>
    </row>
    <row r="144" spans="1:9" x14ac:dyDescent="0.3">
      <c r="A144" s="3">
        <v>45960</v>
      </c>
      <c r="B144" s="4" t="s">
        <v>64</v>
      </c>
      <c r="C144" s="4"/>
      <c r="D144" s="4" t="s">
        <v>154</v>
      </c>
      <c r="E144" s="5">
        <v>45950</v>
      </c>
      <c r="F144" s="4" t="s">
        <v>185</v>
      </c>
      <c r="G144" s="4" t="s">
        <v>188</v>
      </c>
      <c r="H144" s="4" t="s">
        <v>183</v>
      </c>
      <c r="I144" s="6">
        <v>0</v>
      </c>
    </row>
    <row r="145" spans="1:9" x14ac:dyDescent="0.3">
      <c r="A145" s="3">
        <v>45960</v>
      </c>
      <c r="B145" s="4" t="s">
        <v>64</v>
      </c>
      <c r="C145" s="4"/>
      <c r="D145" s="4" t="s">
        <v>155</v>
      </c>
      <c r="E145" s="5">
        <v>45950</v>
      </c>
      <c r="F145" s="4" t="s">
        <v>185</v>
      </c>
      <c r="G145" s="4" t="s">
        <v>189</v>
      </c>
      <c r="H145" s="4" t="s">
        <v>183</v>
      </c>
      <c r="I145" s="6">
        <v>0</v>
      </c>
    </row>
    <row r="146" spans="1:9" x14ac:dyDescent="0.3">
      <c r="A146" s="3">
        <v>45967</v>
      </c>
      <c r="B146" s="4" t="s">
        <v>64</v>
      </c>
      <c r="C146" s="4"/>
      <c r="D146" s="4" t="s">
        <v>156</v>
      </c>
      <c r="E146" s="5">
        <v>45950</v>
      </c>
      <c r="F146" s="4" t="s">
        <v>185</v>
      </c>
      <c r="G146" s="4" t="s">
        <v>189</v>
      </c>
      <c r="H146" s="4" t="s">
        <v>183</v>
      </c>
      <c r="I146" s="6">
        <v>0</v>
      </c>
    </row>
    <row r="147" spans="1:9" x14ac:dyDescent="0.3">
      <c r="A147" s="3">
        <v>45967</v>
      </c>
      <c r="B147" s="4" t="s">
        <v>64</v>
      </c>
      <c r="C147" s="4"/>
      <c r="D147" s="4" t="s">
        <v>157</v>
      </c>
      <c r="E147" s="5">
        <v>45950</v>
      </c>
      <c r="F147" s="4" t="s">
        <v>185</v>
      </c>
      <c r="G147" s="4" t="s">
        <v>186</v>
      </c>
      <c r="H147" s="4" t="s">
        <v>183</v>
      </c>
      <c r="I147" s="6">
        <v>0</v>
      </c>
    </row>
    <row r="148" spans="1:9" x14ac:dyDescent="0.3">
      <c r="A148" s="3">
        <v>45967</v>
      </c>
      <c r="B148" s="4" t="s">
        <v>64</v>
      </c>
      <c r="C148" s="4"/>
      <c r="D148" s="4" t="s">
        <v>158</v>
      </c>
      <c r="E148" s="5">
        <v>45950</v>
      </c>
      <c r="F148" s="4" t="s">
        <v>185</v>
      </c>
      <c r="G148" s="4" t="s">
        <v>186</v>
      </c>
      <c r="H148" s="4" t="s">
        <v>183</v>
      </c>
      <c r="I148" s="6">
        <v>0</v>
      </c>
    </row>
    <row r="149" spans="1:9" x14ac:dyDescent="0.3">
      <c r="A149" s="3">
        <v>45967</v>
      </c>
      <c r="B149" s="4" t="s">
        <v>64</v>
      </c>
      <c r="C149" s="4"/>
      <c r="D149" s="4" t="s">
        <v>159</v>
      </c>
      <c r="E149" s="5">
        <v>45950</v>
      </c>
      <c r="F149" s="4" t="s">
        <v>185</v>
      </c>
      <c r="G149" s="4" t="s">
        <v>186</v>
      </c>
      <c r="H149" s="4" t="s">
        <v>183</v>
      </c>
      <c r="I149" s="6">
        <v>0</v>
      </c>
    </row>
    <row r="150" spans="1:9" x14ac:dyDescent="0.3">
      <c r="A150" s="3">
        <v>45967</v>
      </c>
      <c r="B150" s="4" t="s">
        <v>64</v>
      </c>
      <c r="C150" s="4"/>
      <c r="D150" s="4" t="s">
        <v>160</v>
      </c>
      <c r="E150" s="5">
        <v>45950</v>
      </c>
      <c r="F150" s="4" t="s">
        <v>185</v>
      </c>
      <c r="G150" s="4" t="s">
        <v>186</v>
      </c>
      <c r="H150" s="4" t="s">
        <v>183</v>
      </c>
      <c r="I150" s="6">
        <v>0</v>
      </c>
    </row>
    <row r="151" spans="1:9" x14ac:dyDescent="0.3">
      <c r="A151" s="3">
        <v>45967</v>
      </c>
      <c r="B151" s="4" t="s">
        <v>64</v>
      </c>
      <c r="C151" s="4"/>
      <c r="D151" s="4" t="s">
        <v>161</v>
      </c>
      <c r="E151" s="5">
        <v>45950</v>
      </c>
      <c r="F151" s="4" t="s">
        <v>185</v>
      </c>
      <c r="G151" s="4" t="s">
        <v>190</v>
      </c>
      <c r="H151" s="4" t="s">
        <v>183</v>
      </c>
      <c r="I151" s="6">
        <v>0</v>
      </c>
    </row>
    <row r="152" spans="1:9" x14ac:dyDescent="0.3">
      <c r="A152" s="3">
        <v>45967</v>
      </c>
      <c r="B152" s="4" t="s">
        <v>64</v>
      </c>
      <c r="C152" s="4"/>
      <c r="D152" s="4" t="s">
        <v>162</v>
      </c>
      <c r="E152" s="5">
        <v>45950</v>
      </c>
      <c r="F152" s="4" t="s">
        <v>185</v>
      </c>
      <c r="G152" s="4" t="s">
        <v>186</v>
      </c>
      <c r="H152" s="4" t="s">
        <v>183</v>
      </c>
      <c r="I152" s="6">
        <v>0</v>
      </c>
    </row>
    <row r="153" spans="1:9" x14ac:dyDescent="0.3">
      <c r="A153" s="3">
        <v>45974</v>
      </c>
      <c r="B153" s="4" t="s">
        <v>64</v>
      </c>
      <c r="C153" s="4"/>
      <c r="D153" s="4" t="s">
        <v>163</v>
      </c>
      <c r="E153" s="5">
        <v>45950</v>
      </c>
      <c r="F153" s="4" t="s">
        <v>185</v>
      </c>
      <c r="G153" s="4" t="s">
        <v>186</v>
      </c>
      <c r="H153" s="4" t="s">
        <v>183</v>
      </c>
      <c r="I153" s="6">
        <v>0</v>
      </c>
    </row>
    <row r="154" spans="1:9" x14ac:dyDescent="0.3">
      <c r="A154" s="3">
        <v>45974</v>
      </c>
      <c r="B154" s="4" t="s">
        <v>64</v>
      </c>
      <c r="C154" s="4"/>
      <c r="D154" s="4" t="s">
        <v>164</v>
      </c>
      <c r="E154" s="5">
        <v>45950</v>
      </c>
      <c r="F154" s="4" t="s">
        <v>185</v>
      </c>
      <c r="G154" s="4" t="s">
        <v>190</v>
      </c>
      <c r="H154" s="4" t="s">
        <v>183</v>
      </c>
      <c r="I154" s="6">
        <v>0</v>
      </c>
    </row>
    <row r="155" spans="1:9" x14ac:dyDescent="0.3">
      <c r="A155" s="3">
        <v>45974</v>
      </c>
      <c r="B155" s="4" t="s">
        <v>64</v>
      </c>
      <c r="C155" s="4"/>
      <c r="D155" s="4" t="s">
        <v>165</v>
      </c>
      <c r="E155" s="5">
        <v>45950</v>
      </c>
      <c r="F155" s="4" t="s">
        <v>185</v>
      </c>
      <c r="G155" s="4" t="s">
        <v>188</v>
      </c>
      <c r="H155" s="4" t="s">
        <v>183</v>
      </c>
      <c r="I155" s="6">
        <v>0</v>
      </c>
    </row>
    <row r="156" spans="1:9" x14ac:dyDescent="0.3">
      <c r="A156" s="3">
        <v>45974</v>
      </c>
      <c r="B156" s="4" t="s">
        <v>64</v>
      </c>
      <c r="C156" s="4"/>
      <c r="D156" s="4" t="s">
        <v>166</v>
      </c>
      <c r="E156" s="5">
        <v>45950</v>
      </c>
      <c r="F156" s="4" t="s">
        <v>185</v>
      </c>
      <c r="G156" s="4" t="s">
        <v>186</v>
      </c>
      <c r="H156" s="4" t="s">
        <v>183</v>
      </c>
      <c r="I156" s="6">
        <v>0</v>
      </c>
    </row>
    <row r="157" spans="1:9" x14ac:dyDescent="0.3">
      <c r="A157" s="3">
        <v>45974</v>
      </c>
      <c r="B157" s="4" t="s">
        <v>64</v>
      </c>
      <c r="C157" s="4"/>
      <c r="D157" s="4" t="s">
        <v>167</v>
      </c>
      <c r="E157" s="5">
        <v>45950</v>
      </c>
      <c r="F157" s="4" t="s">
        <v>185</v>
      </c>
      <c r="G157" s="4" t="s">
        <v>187</v>
      </c>
      <c r="H157" s="4" t="s">
        <v>183</v>
      </c>
      <c r="I157" s="6">
        <v>0</v>
      </c>
    </row>
    <row r="158" spans="1:9" x14ac:dyDescent="0.3">
      <c r="A158" s="3">
        <v>45974</v>
      </c>
      <c r="B158" s="4" t="s">
        <v>64</v>
      </c>
      <c r="C158" s="4"/>
      <c r="D158" s="4" t="s">
        <v>168</v>
      </c>
      <c r="E158" s="5">
        <v>45950</v>
      </c>
      <c r="F158" s="4" t="s">
        <v>185</v>
      </c>
      <c r="G158" s="4" t="s">
        <v>188</v>
      </c>
      <c r="H158" s="4" t="s">
        <v>183</v>
      </c>
      <c r="I158" s="6">
        <v>0</v>
      </c>
    </row>
    <row r="159" spans="1:9" x14ac:dyDescent="0.3">
      <c r="A159" s="3">
        <v>45974</v>
      </c>
      <c r="B159" s="4" t="s">
        <v>64</v>
      </c>
      <c r="C159" s="4"/>
      <c r="D159" s="4" t="s">
        <v>169</v>
      </c>
      <c r="E159" s="5">
        <v>45950</v>
      </c>
      <c r="F159" s="4" t="s">
        <v>185</v>
      </c>
      <c r="G159" s="4" t="s">
        <v>189</v>
      </c>
      <c r="H159" s="4" t="s">
        <v>183</v>
      </c>
      <c r="I159" s="6">
        <v>0</v>
      </c>
    </row>
    <row r="160" spans="1:9" x14ac:dyDescent="0.3">
      <c r="A160" s="3">
        <v>45974</v>
      </c>
      <c r="B160" s="4" t="s">
        <v>64</v>
      </c>
      <c r="C160" s="4"/>
      <c r="D160" s="4" t="s">
        <v>170</v>
      </c>
      <c r="E160" s="5">
        <v>45950</v>
      </c>
      <c r="F160" s="4" t="s">
        <v>185</v>
      </c>
      <c r="G160" s="4" t="s">
        <v>188</v>
      </c>
      <c r="H160" s="4" t="s">
        <v>183</v>
      </c>
      <c r="I160" s="6">
        <v>0</v>
      </c>
    </row>
    <row r="161" spans="1:9" x14ac:dyDescent="0.3">
      <c r="A161" s="3">
        <v>45974</v>
      </c>
      <c r="B161" s="4" t="s">
        <v>64</v>
      </c>
      <c r="C161" s="4"/>
      <c r="D161" s="4" t="s">
        <v>171</v>
      </c>
      <c r="E161" s="5">
        <v>45950</v>
      </c>
      <c r="F161" s="4" t="s">
        <v>185</v>
      </c>
      <c r="G161" s="4" t="s">
        <v>188</v>
      </c>
      <c r="H161" s="4" t="s">
        <v>183</v>
      </c>
      <c r="I161" s="6">
        <v>0</v>
      </c>
    </row>
    <row r="162" spans="1:9" x14ac:dyDescent="0.3">
      <c r="A162" s="3">
        <v>45974</v>
      </c>
      <c r="B162" s="4" t="s">
        <v>64</v>
      </c>
      <c r="C162" s="4"/>
      <c r="D162" s="4" t="s">
        <v>172</v>
      </c>
      <c r="E162" s="5">
        <v>45950</v>
      </c>
      <c r="F162" s="4" t="s">
        <v>185</v>
      </c>
      <c r="G162" s="4" t="s">
        <v>188</v>
      </c>
      <c r="H162" s="4" t="s">
        <v>183</v>
      </c>
      <c r="I162" s="6">
        <v>0</v>
      </c>
    </row>
    <row r="163" spans="1:9" x14ac:dyDescent="0.3">
      <c r="A163" s="3">
        <v>45974</v>
      </c>
      <c r="B163" s="4" t="s">
        <v>64</v>
      </c>
      <c r="C163" s="4"/>
      <c r="D163" s="4" t="s">
        <v>173</v>
      </c>
      <c r="E163" s="5">
        <v>45950</v>
      </c>
      <c r="F163" s="4" t="s">
        <v>185</v>
      </c>
      <c r="G163" s="4" t="s">
        <v>189</v>
      </c>
      <c r="H163" s="4" t="s">
        <v>183</v>
      </c>
      <c r="I163" s="6">
        <v>0</v>
      </c>
    </row>
    <row r="164" spans="1:9" x14ac:dyDescent="0.3">
      <c r="A164" s="3">
        <v>45974</v>
      </c>
      <c r="B164" s="4" t="s">
        <v>64</v>
      </c>
      <c r="C164" s="4"/>
      <c r="D164" s="4" t="s">
        <v>174</v>
      </c>
      <c r="E164" s="5">
        <v>45950</v>
      </c>
      <c r="F164" s="4" t="s">
        <v>185</v>
      </c>
      <c r="G164" s="4" t="s">
        <v>186</v>
      </c>
      <c r="H164" s="4" t="s">
        <v>183</v>
      </c>
      <c r="I164" s="6">
        <v>0</v>
      </c>
    </row>
    <row r="165" spans="1:9" x14ac:dyDescent="0.3">
      <c r="A165" s="3">
        <v>45974</v>
      </c>
      <c r="B165" s="4" t="s">
        <v>64</v>
      </c>
      <c r="C165" s="4"/>
      <c r="D165" s="4" t="s">
        <v>175</v>
      </c>
      <c r="E165" s="5">
        <v>45950</v>
      </c>
      <c r="F165" s="4" t="s">
        <v>185</v>
      </c>
      <c r="G165" s="4" t="s">
        <v>186</v>
      </c>
      <c r="H165" s="4" t="s">
        <v>183</v>
      </c>
      <c r="I165" s="6">
        <v>0</v>
      </c>
    </row>
    <row r="166" spans="1:9" x14ac:dyDescent="0.3">
      <c r="A166" s="3">
        <v>45974</v>
      </c>
      <c r="B166" s="4" t="s">
        <v>64</v>
      </c>
      <c r="C166" s="4"/>
      <c r="D166" s="4" t="s">
        <v>176</v>
      </c>
      <c r="E166" s="5">
        <v>45950</v>
      </c>
      <c r="F166" s="4" t="s">
        <v>185</v>
      </c>
      <c r="G166" s="4" t="s">
        <v>190</v>
      </c>
      <c r="H166" s="4" t="s">
        <v>183</v>
      </c>
      <c r="I166" s="6">
        <v>0</v>
      </c>
    </row>
    <row r="167" spans="1:9" x14ac:dyDescent="0.3">
      <c r="A167" s="3">
        <v>45974</v>
      </c>
      <c r="B167" s="4" t="s">
        <v>64</v>
      </c>
      <c r="C167" s="4"/>
      <c r="D167" s="4" t="s">
        <v>177</v>
      </c>
      <c r="E167" s="5">
        <v>45950</v>
      </c>
      <c r="F167" s="4" t="s">
        <v>185</v>
      </c>
      <c r="G167" s="4" t="s">
        <v>188</v>
      </c>
      <c r="H167" s="4" t="s">
        <v>183</v>
      </c>
      <c r="I167" s="6">
        <v>0</v>
      </c>
    </row>
    <row r="168" spans="1:9" x14ac:dyDescent="0.3">
      <c r="A168" s="3">
        <v>45974</v>
      </c>
      <c r="B168" s="4" t="s">
        <v>64</v>
      </c>
      <c r="C168" s="4"/>
      <c r="D168" s="4" t="s">
        <v>178</v>
      </c>
      <c r="E168" s="5">
        <v>45950</v>
      </c>
      <c r="F168" s="4" t="s">
        <v>185</v>
      </c>
      <c r="G168" s="4" t="s">
        <v>186</v>
      </c>
      <c r="H168" s="4" t="s">
        <v>183</v>
      </c>
      <c r="I168" s="6">
        <v>0</v>
      </c>
    </row>
    <row r="169" spans="1:9" x14ac:dyDescent="0.3">
      <c r="A169" s="3">
        <v>45974</v>
      </c>
      <c r="B169" s="4" t="s">
        <v>64</v>
      </c>
      <c r="C169" s="4"/>
      <c r="D169" s="4" t="s">
        <v>179</v>
      </c>
      <c r="E169" s="5">
        <v>45950</v>
      </c>
      <c r="F169" s="4" t="s">
        <v>185</v>
      </c>
      <c r="G169" s="4" t="s">
        <v>186</v>
      </c>
      <c r="H169" s="4" t="s">
        <v>183</v>
      </c>
      <c r="I169" s="6">
        <v>0</v>
      </c>
    </row>
    <row r="170" spans="1:9" x14ac:dyDescent="0.3">
      <c r="A170" s="3">
        <v>45974</v>
      </c>
      <c r="B170" s="4" t="s">
        <v>64</v>
      </c>
      <c r="C170" s="4"/>
      <c r="D170" s="4" t="s">
        <v>180</v>
      </c>
      <c r="E170" s="5">
        <v>45950</v>
      </c>
      <c r="F170" s="4" t="s">
        <v>185</v>
      </c>
      <c r="G170" s="4" t="s">
        <v>186</v>
      </c>
      <c r="H170" s="4" t="s">
        <v>183</v>
      </c>
      <c r="I170" s="6">
        <v>0</v>
      </c>
    </row>
    <row r="171" spans="1:9" x14ac:dyDescent="0.3">
      <c r="A171" s="3">
        <v>45974</v>
      </c>
      <c r="B171" s="4" t="s">
        <v>64</v>
      </c>
      <c r="C171" s="4"/>
      <c r="D171" s="4" t="s">
        <v>181</v>
      </c>
      <c r="E171" s="5">
        <v>45950</v>
      </c>
      <c r="F171" s="4" t="s">
        <v>185</v>
      </c>
      <c r="G171" s="4" t="s">
        <v>186</v>
      </c>
      <c r="H171" s="4" t="s">
        <v>183</v>
      </c>
      <c r="I171" s="6">
        <v>0</v>
      </c>
    </row>
  </sheetData>
  <conditionalFormatting sqref="D1 D172:D1048576">
    <cfRule type="duplicateValues" dxfId="3" priority="1"/>
  </conditionalFormatting>
  <conditionalFormatting sqref="D1">
    <cfRule type="duplicateValues" dxfId="2" priority="2"/>
  </conditionalFormatting>
  <dataValidations count="1">
    <dataValidation type="list" allowBlank="1" showInputMessage="1" showErrorMessage="1" sqref="B2:B171" xr:uid="{DF06D6B0-AB29-422B-8EA6-93E3C11DF17E}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F189-9227-4670-B4EA-CF36558A994C}">
  <dimension ref="A1:I343"/>
  <sheetViews>
    <sheetView zoomScaleNormal="100" workbookViewId="0">
      <selection activeCell="I1" sqref="I1:I1048576"/>
    </sheetView>
  </sheetViews>
  <sheetFormatPr defaultColWidth="9.109375" defaultRowHeight="14.4" x14ac:dyDescent="0.3"/>
  <cols>
    <col min="1" max="2" width="16.88671875" customWidth="1"/>
    <col min="3" max="3" width="18.33203125" customWidth="1"/>
    <col min="4" max="4" width="25.44140625" customWidth="1"/>
    <col min="5" max="6" width="16.88671875" customWidth="1"/>
    <col min="7" max="7" width="112.88671875" bestFit="1" customWidth="1"/>
    <col min="8" max="8" width="24.109375" customWidth="1"/>
    <col min="9" max="9" width="16.8867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5">
        <v>45949</v>
      </c>
      <c r="B2" s="4" t="s">
        <v>9</v>
      </c>
      <c r="C2" s="4"/>
      <c r="D2" s="4" t="s">
        <v>191</v>
      </c>
      <c r="E2" s="5">
        <v>45958</v>
      </c>
      <c r="F2" s="4" t="str">
        <f>IF(_xlfn.XLOOKUP(D2,[2]Recalc!A:A,[2]Recalc!A:A,"")=D2,"Approved","Denied")</f>
        <v>Approved</v>
      </c>
      <c r="G2" s="4" t="str">
        <f>IF(F2="Denied",_xlfn.XLOOKUP(D2,'[2]Denied Barcodes'!$A$2:$A$1048576,'[2]Denied Barcodes'!$B$2:$B$1048576,""),"")</f>
        <v/>
      </c>
      <c r="H2" s="4" t="str">
        <f t="shared" ref="H2:H65" si="0">IF(I2&lt;0,"Credit",IF(I2&gt;0,"Debit",""))</f>
        <v>Credit</v>
      </c>
      <c r="I2" s="6">
        <f>IF(F2="Approved",SUMIF([2]Recalc!A:A,D2,[2]Recalc!BX:BX),0)</f>
        <v>-2091.5</v>
      </c>
    </row>
    <row r="3" spans="1:9" x14ac:dyDescent="0.3">
      <c r="A3" s="5">
        <v>45949</v>
      </c>
      <c r="B3" s="4" t="s">
        <v>9</v>
      </c>
      <c r="C3" s="4"/>
      <c r="D3" s="4" t="s">
        <v>192</v>
      </c>
      <c r="E3" s="5">
        <v>45958</v>
      </c>
      <c r="F3" s="4" t="str">
        <f>IF(_xlfn.XLOOKUP(D3,[2]Recalc!A:A,[2]Recalc!A:A,"")=D3,"Approved","Denied")</f>
        <v>Approved</v>
      </c>
      <c r="G3" s="4" t="str">
        <f>IF(F3="Denied",_xlfn.XLOOKUP(D3,'[2]Denied Barcodes'!$A$2:$A$1048576,'[2]Denied Barcodes'!$B$2:$B$1048576,""),"")</f>
        <v/>
      </c>
      <c r="H3" s="4" t="str">
        <f t="shared" si="0"/>
        <v>Credit</v>
      </c>
      <c r="I3" s="6">
        <f>IF(F3="Approved",SUMIF([2]Recalc!A:A,D3,[2]Recalc!BX:BX),0)</f>
        <v>-2083.84</v>
      </c>
    </row>
    <row r="4" spans="1:9" x14ac:dyDescent="0.3">
      <c r="A4" s="5">
        <v>45949</v>
      </c>
      <c r="B4" s="4" t="s">
        <v>9</v>
      </c>
      <c r="C4" s="4"/>
      <c r="D4" s="4" t="s">
        <v>193</v>
      </c>
      <c r="E4" s="5">
        <v>45958</v>
      </c>
      <c r="F4" s="4" t="str">
        <f>IF(_xlfn.XLOOKUP(D4,[2]Recalc!A:A,[2]Recalc!A:A,"")=D4,"Approved","Denied")</f>
        <v>Approved</v>
      </c>
      <c r="G4" s="4" t="str">
        <f>IF(F4="Denied",_xlfn.XLOOKUP(D4,'[2]Denied Barcodes'!$A$2:$A$1048576,'[2]Denied Barcodes'!$B$2:$B$1048576,""),"")</f>
        <v/>
      </c>
      <c r="H4" s="4" t="str">
        <f t="shared" si="0"/>
        <v>Credit</v>
      </c>
      <c r="I4" s="6">
        <f>IF(F4="Approved",SUMIF([2]Recalc!A:A,D4,[2]Recalc!BX:BX),0)</f>
        <v>-2052.79</v>
      </c>
    </row>
    <row r="5" spans="1:9" x14ac:dyDescent="0.3">
      <c r="A5" s="5">
        <v>45949</v>
      </c>
      <c r="B5" s="4" t="s">
        <v>9</v>
      </c>
      <c r="C5" s="4"/>
      <c r="D5" s="4" t="s">
        <v>194</v>
      </c>
      <c r="E5" s="5">
        <v>45958</v>
      </c>
      <c r="F5" s="4" t="str">
        <f>IF(_xlfn.XLOOKUP(D5,[2]Recalc!A:A,[2]Recalc!A:A,"")=D5,"Approved","Denied")</f>
        <v>Approved</v>
      </c>
      <c r="G5" s="4" t="str">
        <f>IF(F5="Denied",_xlfn.XLOOKUP(D5,'[2]Denied Barcodes'!$A$2:$A$1048576,'[2]Denied Barcodes'!$B$2:$B$1048576,""),"")</f>
        <v/>
      </c>
      <c r="H5" s="4" t="str">
        <f t="shared" si="0"/>
        <v>Credit</v>
      </c>
      <c r="I5" s="6">
        <f>IF(F5="Approved",SUMIF([2]Recalc!A:A,D5,[2]Recalc!BX:BX),0)</f>
        <v>-2052.29</v>
      </c>
    </row>
    <row r="6" spans="1:9" x14ac:dyDescent="0.3">
      <c r="A6" s="5">
        <v>45949</v>
      </c>
      <c r="B6" s="4" t="s">
        <v>9</v>
      </c>
      <c r="C6" s="4"/>
      <c r="D6" s="4" t="s">
        <v>195</v>
      </c>
      <c r="E6" s="5">
        <v>45958</v>
      </c>
      <c r="F6" s="4" t="str">
        <f>IF(_xlfn.XLOOKUP(D6,[2]Recalc!A:A,[2]Recalc!A:A,"")=D6,"Approved","Denied")</f>
        <v>Approved</v>
      </c>
      <c r="G6" s="4" t="str">
        <f>IF(F6="Denied",_xlfn.XLOOKUP(D6,'[2]Denied Barcodes'!$A$2:$A$1048576,'[2]Denied Barcodes'!$B$2:$B$1048576,""),"")</f>
        <v/>
      </c>
      <c r="H6" s="4" t="str">
        <f t="shared" si="0"/>
        <v>Credit</v>
      </c>
      <c r="I6" s="6">
        <f>IF(F6="Approved",SUMIF([2]Recalc!A:A,D6,[2]Recalc!BX:BX),0)</f>
        <v>-2052.15</v>
      </c>
    </row>
    <row r="7" spans="1:9" x14ac:dyDescent="0.3">
      <c r="A7" s="5">
        <v>45949</v>
      </c>
      <c r="B7" s="4" t="s">
        <v>9</v>
      </c>
      <c r="C7" s="4"/>
      <c r="D7" s="4" t="s">
        <v>196</v>
      </c>
      <c r="E7" s="5">
        <v>45958</v>
      </c>
      <c r="F7" s="4" t="str">
        <f>IF(_xlfn.XLOOKUP(D7,[2]Recalc!A:A,[2]Recalc!A:A,"")=D7,"Approved","Denied")</f>
        <v>Approved</v>
      </c>
      <c r="G7" s="4" t="str">
        <f>IF(F7="Denied",_xlfn.XLOOKUP(D7,'[2]Denied Barcodes'!$A$2:$A$1048576,'[2]Denied Barcodes'!$B$2:$B$1048576,""),"")</f>
        <v/>
      </c>
      <c r="H7" s="4" t="str">
        <f t="shared" si="0"/>
        <v>Credit</v>
      </c>
      <c r="I7" s="6">
        <f>IF(F7="Approved",SUMIF([2]Recalc!A:A,D7,[2]Recalc!BX:BX),0)</f>
        <v>-2048.66</v>
      </c>
    </row>
    <row r="8" spans="1:9" x14ac:dyDescent="0.3">
      <c r="A8" s="5">
        <v>45949</v>
      </c>
      <c r="B8" s="4" t="s">
        <v>9</v>
      </c>
      <c r="C8" s="4"/>
      <c r="D8" s="4" t="s">
        <v>197</v>
      </c>
      <c r="E8" s="5">
        <v>45958</v>
      </c>
      <c r="F8" s="4" t="str">
        <f>IF(_xlfn.XLOOKUP(D8,[2]Recalc!A:A,[2]Recalc!A:A,"")=D8,"Approved","Denied")</f>
        <v>Approved</v>
      </c>
      <c r="G8" s="4" t="str">
        <f>IF(F8="Denied",_xlfn.XLOOKUP(D8,'[2]Denied Barcodes'!$A$2:$A$1048576,'[2]Denied Barcodes'!$B$2:$B$1048576,""),"")</f>
        <v/>
      </c>
      <c r="H8" s="4" t="str">
        <f t="shared" si="0"/>
        <v>Credit</v>
      </c>
      <c r="I8" s="6">
        <f>IF(F8="Approved",SUMIF([2]Recalc!A:A,D8,[2]Recalc!BX:BX),0)</f>
        <v>-2042.98</v>
      </c>
    </row>
    <row r="9" spans="1:9" x14ac:dyDescent="0.3">
      <c r="A9" s="5">
        <v>45949</v>
      </c>
      <c r="B9" s="4" t="s">
        <v>9</v>
      </c>
      <c r="C9" s="4"/>
      <c r="D9" s="4" t="s">
        <v>198</v>
      </c>
      <c r="E9" s="5">
        <v>45958</v>
      </c>
      <c r="F9" s="4" t="str">
        <f>IF(_xlfn.XLOOKUP(D9,[2]Recalc!A:A,[2]Recalc!A:A,"")=D9,"Approved","Denied")</f>
        <v>Approved</v>
      </c>
      <c r="G9" s="4" t="str">
        <f>IF(F9="Denied",_xlfn.XLOOKUP(D9,'[2]Denied Barcodes'!$A$2:$A$1048576,'[2]Denied Barcodes'!$B$2:$B$1048576,""),"")</f>
        <v/>
      </c>
      <c r="H9" s="4" t="str">
        <f t="shared" si="0"/>
        <v>Credit</v>
      </c>
      <c r="I9" s="6">
        <f>IF(F9="Approved",SUMIF([2]Recalc!A:A,D9,[2]Recalc!BX:BX),0)</f>
        <v>-2040.39</v>
      </c>
    </row>
    <row r="10" spans="1:9" x14ac:dyDescent="0.3">
      <c r="A10" s="5">
        <v>45949</v>
      </c>
      <c r="B10" s="4" t="s">
        <v>9</v>
      </c>
      <c r="C10" s="4"/>
      <c r="D10" s="4" t="s">
        <v>199</v>
      </c>
      <c r="E10" s="5">
        <v>45958</v>
      </c>
      <c r="F10" s="4" t="str">
        <f>IF(_xlfn.XLOOKUP(D10,[2]Recalc!A:A,[2]Recalc!A:A,"")=D10,"Approved","Denied")</f>
        <v>Approved</v>
      </c>
      <c r="G10" s="4" t="str">
        <f>IF(F10="Denied",_xlfn.XLOOKUP(D10,'[2]Denied Barcodes'!$A$2:$A$1048576,'[2]Denied Barcodes'!$B$2:$B$1048576,""),"")</f>
        <v/>
      </c>
      <c r="H10" s="4" t="str">
        <f t="shared" si="0"/>
        <v>Credit</v>
      </c>
      <c r="I10" s="6">
        <f>IF(F10="Approved",SUMIF([2]Recalc!A:A,D10,[2]Recalc!BX:BX),0)</f>
        <v>-1450.09</v>
      </c>
    </row>
    <row r="11" spans="1:9" x14ac:dyDescent="0.3">
      <c r="A11" s="5">
        <v>45949</v>
      </c>
      <c r="B11" s="4" t="s">
        <v>9</v>
      </c>
      <c r="C11" s="4"/>
      <c r="D11" s="4" t="s">
        <v>200</v>
      </c>
      <c r="E11" s="5">
        <v>45958</v>
      </c>
      <c r="F11" s="4" t="str">
        <f>IF(_xlfn.XLOOKUP(D11,[2]Recalc!A:A,[2]Recalc!A:A,"")=D11,"Approved","Denied")</f>
        <v>Approved</v>
      </c>
      <c r="G11" s="4" t="str">
        <f>IF(F11="Denied",_xlfn.XLOOKUP(D11,'[2]Denied Barcodes'!$A$2:$A$1048576,'[2]Denied Barcodes'!$B$2:$B$1048576,""),"")</f>
        <v/>
      </c>
      <c r="H11" s="4" t="str">
        <f t="shared" si="0"/>
        <v>Credit</v>
      </c>
      <c r="I11" s="6">
        <f>IF(F11="Approved",SUMIF([2]Recalc!A:A,D11,[2]Recalc!BX:BX),0)</f>
        <v>-1448.46</v>
      </c>
    </row>
    <row r="12" spans="1:9" x14ac:dyDescent="0.3">
      <c r="A12" s="5">
        <v>45949</v>
      </c>
      <c r="B12" s="4" t="s">
        <v>9</v>
      </c>
      <c r="C12" s="4"/>
      <c r="D12" s="4" t="s">
        <v>201</v>
      </c>
      <c r="E12" s="5">
        <v>45958</v>
      </c>
      <c r="F12" s="4" t="str">
        <f>IF(_xlfn.XLOOKUP(D12,[2]Recalc!A:A,[2]Recalc!A:A,"")=D12,"Approved","Denied")</f>
        <v>Approved</v>
      </c>
      <c r="G12" s="4" t="str">
        <f>IF(F12="Denied",_xlfn.XLOOKUP(D12,'[2]Denied Barcodes'!$A$2:$A$1048576,'[2]Denied Barcodes'!$B$2:$B$1048576,""),"")</f>
        <v/>
      </c>
      <c r="H12" s="4" t="str">
        <f t="shared" si="0"/>
        <v>Credit</v>
      </c>
      <c r="I12" s="6">
        <f>IF(F12="Approved",SUMIF([2]Recalc!A:A,D12,[2]Recalc!BX:BX),0)</f>
        <v>-1447.98</v>
      </c>
    </row>
    <row r="13" spans="1:9" x14ac:dyDescent="0.3">
      <c r="A13" s="5">
        <v>45949</v>
      </c>
      <c r="B13" s="4" t="s">
        <v>9</v>
      </c>
      <c r="C13" s="4"/>
      <c r="D13" s="4" t="s">
        <v>202</v>
      </c>
      <c r="E13" s="5">
        <v>45958</v>
      </c>
      <c r="F13" s="4" t="str">
        <f>IF(_xlfn.XLOOKUP(D13,[2]Recalc!A:A,[2]Recalc!A:A,"")=D13,"Approved","Denied")</f>
        <v>Approved</v>
      </c>
      <c r="G13" s="4" t="str">
        <f>IF(F13="Denied",_xlfn.XLOOKUP(D13,'[2]Denied Barcodes'!$A$2:$A$1048576,'[2]Denied Barcodes'!$B$2:$B$1048576,""),"")</f>
        <v/>
      </c>
      <c r="H13" s="4" t="str">
        <f t="shared" si="0"/>
        <v>Credit</v>
      </c>
      <c r="I13" s="6">
        <f>IF(F13="Approved",SUMIF([2]Recalc!A:A,D13,[2]Recalc!BX:BX),0)</f>
        <v>-1438.7</v>
      </c>
    </row>
    <row r="14" spans="1:9" x14ac:dyDescent="0.3">
      <c r="A14" s="5">
        <v>45949</v>
      </c>
      <c r="B14" s="4" t="s">
        <v>55</v>
      </c>
      <c r="C14" s="4"/>
      <c r="D14" s="4" t="s">
        <v>203</v>
      </c>
      <c r="E14" s="5">
        <v>45958</v>
      </c>
      <c r="F14" s="4" t="str">
        <f>IF(_xlfn.XLOOKUP(D14,[2]Recalc!A:A,[2]Recalc!A:A,"")=D14,"Approved","Denied")</f>
        <v>Approved</v>
      </c>
      <c r="G14" s="4" t="str">
        <f>IF(F14="Denied",_xlfn.XLOOKUP(D14,'[2]Denied Barcodes'!$A$2:$A$1048576,'[2]Denied Barcodes'!$B$2:$B$1048576,""),"")</f>
        <v/>
      </c>
      <c r="H14" s="4" t="str">
        <f t="shared" si="0"/>
        <v>Credit</v>
      </c>
      <c r="I14" s="6">
        <f>IF(F14="Approved",SUMIF([2]Recalc!A:A,D14,[2]Recalc!BX:BX),0)</f>
        <v>-256.43</v>
      </c>
    </row>
    <row r="15" spans="1:9" x14ac:dyDescent="0.3">
      <c r="A15" s="5">
        <v>45949</v>
      </c>
      <c r="B15" s="4" t="s">
        <v>55</v>
      </c>
      <c r="C15" s="4"/>
      <c r="D15" s="4" t="s">
        <v>204</v>
      </c>
      <c r="E15" s="5">
        <v>45958</v>
      </c>
      <c r="F15" s="4" t="str">
        <f>IF(_xlfn.XLOOKUP(D15,[2]Recalc!A:A,[2]Recalc!A:A,"")=D15,"Approved","Denied")</f>
        <v>Approved</v>
      </c>
      <c r="G15" s="4" t="str">
        <f>IF(F15="Denied",_xlfn.XLOOKUP(D15,'[2]Denied Barcodes'!$A$2:$A$1048576,'[2]Denied Barcodes'!$B$2:$B$1048576,""),"")</f>
        <v/>
      </c>
      <c r="H15" s="4" t="str">
        <f t="shared" si="0"/>
        <v>Credit</v>
      </c>
      <c r="I15" s="6">
        <f>IF(F15="Approved",SUMIF([2]Recalc!A:A,D15,[2]Recalc!BX:BX),0)</f>
        <v>-223.75</v>
      </c>
    </row>
    <row r="16" spans="1:9" x14ac:dyDescent="0.3">
      <c r="A16" s="5">
        <v>45949</v>
      </c>
      <c r="B16" s="4" t="s">
        <v>55</v>
      </c>
      <c r="C16" s="4"/>
      <c r="D16" s="4" t="s">
        <v>205</v>
      </c>
      <c r="E16" s="5">
        <v>45958</v>
      </c>
      <c r="F16" s="4" t="str">
        <f>IF(_xlfn.XLOOKUP(D16,[2]Recalc!A:A,[2]Recalc!A:A,"")=D16,"Approved","Denied")</f>
        <v>Approved</v>
      </c>
      <c r="G16" s="4" t="str">
        <f>IF(F16="Denied",_xlfn.XLOOKUP(D16,'[2]Denied Barcodes'!$A$2:$A$1048576,'[2]Denied Barcodes'!$B$2:$B$1048576,""),"")</f>
        <v/>
      </c>
      <c r="H16" s="4" t="str">
        <f t="shared" si="0"/>
        <v>Credit</v>
      </c>
      <c r="I16" s="6">
        <f>IF(F16="Approved",SUMIF([2]Recalc!A:A,D16,[2]Recalc!BX:BX),0)</f>
        <v>-149.38999999999999</v>
      </c>
    </row>
    <row r="17" spans="1:9" x14ac:dyDescent="0.3">
      <c r="A17" s="5">
        <v>45949</v>
      </c>
      <c r="B17" s="4" t="s">
        <v>55</v>
      </c>
      <c r="C17" s="4"/>
      <c r="D17" s="4" t="s">
        <v>206</v>
      </c>
      <c r="E17" s="5">
        <v>45958</v>
      </c>
      <c r="F17" s="4" t="str">
        <f>IF(_xlfn.XLOOKUP(D17,[2]Recalc!A:A,[2]Recalc!A:A,"")=D17,"Approved","Denied")</f>
        <v>Approved</v>
      </c>
      <c r="G17" s="4" t="str">
        <f>IF(F17="Denied",_xlfn.XLOOKUP(D17,'[2]Denied Barcodes'!$A$2:$A$1048576,'[2]Denied Barcodes'!$B$2:$B$1048576,""),"")</f>
        <v/>
      </c>
      <c r="H17" s="4" t="str">
        <f t="shared" si="0"/>
        <v>Credit</v>
      </c>
      <c r="I17" s="6">
        <f>IF(F17="Approved",SUMIF([2]Recalc!A:A,D17,[2]Recalc!BX:BX),0)</f>
        <v>-148.57</v>
      </c>
    </row>
    <row r="18" spans="1:9" x14ac:dyDescent="0.3">
      <c r="A18" s="5">
        <v>45949</v>
      </c>
      <c r="B18" s="4" t="s">
        <v>55</v>
      </c>
      <c r="C18" s="4"/>
      <c r="D18" s="4" t="s">
        <v>207</v>
      </c>
      <c r="E18" s="5">
        <v>45958</v>
      </c>
      <c r="F18" s="4" t="str">
        <f>IF(_xlfn.XLOOKUP(D18,[2]Recalc!A:A,[2]Recalc!A:A,"")=D18,"Approved","Denied")</f>
        <v>Approved</v>
      </c>
      <c r="G18" s="4" t="str">
        <f>IF(F18="Denied",_xlfn.XLOOKUP(D18,'[2]Denied Barcodes'!$A$2:$A$1048576,'[2]Denied Barcodes'!$B$2:$B$1048576,""),"")</f>
        <v/>
      </c>
      <c r="H18" s="4" t="str">
        <f t="shared" si="0"/>
        <v>Credit</v>
      </c>
      <c r="I18" s="6">
        <f>IF(F18="Approved",SUMIF([2]Recalc!A:A,D18,[2]Recalc!BX:BX),0)</f>
        <v>-137.66999999999999</v>
      </c>
    </row>
    <row r="19" spans="1:9" x14ac:dyDescent="0.3">
      <c r="A19" s="5">
        <v>45949</v>
      </c>
      <c r="B19" s="4" t="s">
        <v>55</v>
      </c>
      <c r="C19" s="4"/>
      <c r="D19" s="4" t="s">
        <v>208</v>
      </c>
      <c r="E19" s="5">
        <v>45958</v>
      </c>
      <c r="F19" s="4" t="str">
        <f>IF(_xlfn.XLOOKUP(D19,[2]Recalc!A:A,[2]Recalc!A:A,"")=D19,"Approved","Denied")</f>
        <v>Approved</v>
      </c>
      <c r="G19" s="4" t="str">
        <f>IF(F19="Denied",_xlfn.XLOOKUP(D19,'[2]Denied Barcodes'!$A$2:$A$1048576,'[2]Denied Barcodes'!$B$2:$B$1048576,""),"")</f>
        <v/>
      </c>
      <c r="H19" s="4" t="str">
        <f t="shared" si="0"/>
        <v>Credit</v>
      </c>
      <c r="I19" s="6">
        <f>IF(F19="Approved",SUMIF([2]Recalc!A:A,D19,[2]Recalc!BX:BX),0)</f>
        <v>-120.41</v>
      </c>
    </row>
    <row r="20" spans="1:9" x14ac:dyDescent="0.3">
      <c r="A20" s="5">
        <v>45949</v>
      </c>
      <c r="B20" s="4" t="s">
        <v>55</v>
      </c>
      <c r="C20" s="4"/>
      <c r="D20" s="4" t="s">
        <v>209</v>
      </c>
      <c r="E20" s="5">
        <v>45958</v>
      </c>
      <c r="F20" s="4" t="str">
        <f>IF(_xlfn.XLOOKUP(D20,[2]Recalc!A:A,[2]Recalc!A:A,"")=D20,"Approved","Denied")</f>
        <v>Approved</v>
      </c>
      <c r="G20" s="4" t="str">
        <f>IF(F20="Denied",_xlfn.XLOOKUP(D20,'[2]Denied Barcodes'!$A$2:$A$1048576,'[2]Denied Barcodes'!$B$2:$B$1048576,""),"")</f>
        <v/>
      </c>
      <c r="H20" s="4" t="str">
        <f t="shared" si="0"/>
        <v>Credit</v>
      </c>
      <c r="I20" s="6">
        <f>IF(F20="Approved",SUMIF([2]Recalc!A:A,D20,[2]Recalc!BX:BX),0)</f>
        <v>-119.11</v>
      </c>
    </row>
    <row r="21" spans="1:9" x14ac:dyDescent="0.3">
      <c r="A21" s="5">
        <v>45949</v>
      </c>
      <c r="B21" s="4" t="s">
        <v>55</v>
      </c>
      <c r="C21" s="4"/>
      <c r="D21" s="4" t="s">
        <v>210</v>
      </c>
      <c r="E21" s="5">
        <v>45958</v>
      </c>
      <c r="F21" s="4" t="str">
        <f>IF(_xlfn.XLOOKUP(D21,[2]Recalc!A:A,[2]Recalc!A:A,"")=D21,"Approved","Denied")</f>
        <v>Approved</v>
      </c>
      <c r="G21" s="4" t="str">
        <f>IF(F21="Denied",_xlfn.XLOOKUP(D21,'[2]Denied Barcodes'!$A$2:$A$1048576,'[2]Denied Barcodes'!$B$2:$B$1048576,""),"")</f>
        <v/>
      </c>
      <c r="H21" s="4" t="str">
        <f t="shared" si="0"/>
        <v>Credit</v>
      </c>
      <c r="I21" s="6">
        <f>IF(F21="Approved",SUMIF([2]Recalc!A:A,D21,[2]Recalc!BX:BX),0)</f>
        <v>-118.91</v>
      </c>
    </row>
    <row r="22" spans="1:9" x14ac:dyDescent="0.3">
      <c r="A22" s="5">
        <v>45949</v>
      </c>
      <c r="B22" s="4" t="s">
        <v>55</v>
      </c>
      <c r="C22" s="4"/>
      <c r="D22" s="4" t="s">
        <v>211</v>
      </c>
      <c r="E22" s="5">
        <v>45958</v>
      </c>
      <c r="F22" s="4" t="str">
        <f>IF(_xlfn.XLOOKUP(D22,[2]Recalc!A:A,[2]Recalc!A:A,"")=D22,"Approved","Denied")</f>
        <v>Approved</v>
      </c>
      <c r="G22" s="4" t="str">
        <f>IF(F22="Denied",_xlfn.XLOOKUP(D22,'[2]Denied Barcodes'!$A$2:$A$1048576,'[2]Denied Barcodes'!$B$2:$B$1048576,""),"")</f>
        <v/>
      </c>
      <c r="H22" s="4" t="str">
        <f t="shared" si="0"/>
        <v>Credit</v>
      </c>
      <c r="I22" s="6">
        <f>IF(F22="Approved",SUMIF([2]Recalc!A:A,D22,[2]Recalc!BX:BX),0)</f>
        <v>-116.62</v>
      </c>
    </row>
    <row r="23" spans="1:9" x14ac:dyDescent="0.3">
      <c r="A23" s="5">
        <v>45949</v>
      </c>
      <c r="B23" s="4" t="s">
        <v>55</v>
      </c>
      <c r="C23" s="4"/>
      <c r="D23" s="4" t="s">
        <v>212</v>
      </c>
      <c r="E23" s="5">
        <v>45958</v>
      </c>
      <c r="F23" s="4" t="str">
        <f>IF(_xlfn.XLOOKUP(D23,[2]Recalc!A:A,[2]Recalc!A:A,"")=D23,"Approved","Denied")</f>
        <v>Approved</v>
      </c>
      <c r="G23" s="4" t="str">
        <f>IF(F23="Denied",_xlfn.XLOOKUP(D23,'[2]Denied Barcodes'!$A$2:$A$1048576,'[2]Denied Barcodes'!$B$2:$B$1048576,""),"")</f>
        <v/>
      </c>
      <c r="H23" s="4" t="str">
        <f t="shared" si="0"/>
        <v>Credit</v>
      </c>
      <c r="I23" s="6">
        <f>IF(F23="Approved",SUMIF([2]Recalc!A:A,D23,[2]Recalc!BX:BX),0)</f>
        <v>-116.36</v>
      </c>
    </row>
    <row r="24" spans="1:9" x14ac:dyDescent="0.3">
      <c r="A24" s="5">
        <v>45949</v>
      </c>
      <c r="B24" s="4" t="s">
        <v>55</v>
      </c>
      <c r="C24" s="4"/>
      <c r="D24" s="4" t="s">
        <v>213</v>
      </c>
      <c r="E24" s="5">
        <v>45958</v>
      </c>
      <c r="F24" s="4" t="str">
        <f>IF(_xlfn.XLOOKUP(D24,[2]Recalc!A:A,[2]Recalc!A:A,"")=D24,"Approved","Denied")</f>
        <v>Approved</v>
      </c>
      <c r="G24" s="4" t="str">
        <f>IF(F24="Denied",_xlfn.XLOOKUP(D24,'[2]Denied Barcodes'!$A$2:$A$1048576,'[2]Denied Barcodes'!$B$2:$B$1048576,""),"")</f>
        <v/>
      </c>
      <c r="H24" s="4" t="str">
        <f t="shared" si="0"/>
        <v>Credit</v>
      </c>
      <c r="I24" s="6">
        <f>IF(F24="Approved",SUMIF([2]Recalc!A:A,D24,[2]Recalc!BX:BX),0)</f>
        <v>-107.02</v>
      </c>
    </row>
    <row r="25" spans="1:9" x14ac:dyDescent="0.3">
      <c r="A25" s="5">
        <v>45949</v>
      </c>
      <c r="B25" s="4" t="s">
        <v>55</v>
      </c>
      <c r="C25" s="4"/>
      <c r="D25" s="4" t="s">
        <v>214</v>
      </c>
      <c r="E25" s="5">
        <v>45958</v>
      </c>
      <c r="F25" s="4" t="str">
        <f>IF(_xlfn.XLOOKUP(D25,[2]Recalc!A:A,[2]Recalc!A:A,"")=D25,"Approved","Denied")</f>
        <v>Approved</v>
      </c>
      <c r="G25" s="4" t="str">
        <f>IF(F25="Denied",_xlfn.XLOOKUP(D25,'[2]Denied Barcodes'!$A$2:$A$1048576,'[2]Denied Barcodes'!$B$2:$B$1048576,""),"")</f>
        <v/>
      </c>
      <c r="H25" s="4" t="str">
        <f t="shared" si="0"/>
        <v>Credit</v>
      </c>
      <c r="I25" s="6">
        <f>IF(F25="Approved",SUMIF([2]Recalc!A:A,D25,[2]Recalc!BX:BX),0)</f>
        <v>-105.56</v>
      </c>
    </row>
    <row r="26" spans="1:9" x14ac:dyDescent="0.3">
      <c r="A26" s="5">
        <v>45949</v>
      </c>
      <c r="B26" s="4" t="s">
        <v>55</v>
      </c>
      <c r="C26" s="4"/>
      <c r="D26" s="4" t="s">
        <v>215</v>
      </c>
      <c r="E26" s="5">
        <v>45958</v>
      </c>
      <c r="F26" s="4" t="str">
        <f>IF(_xlfn.XLOOKUP(D26,[2]Recalc!A:A,[2]Recalc!A:A,"")=D26,"Approved","Denied")</f>
        <v>Approved</v>
      </c>
      <c r="G26" s="4" t="str">
        <f>IF(F26="Denied",_xlfn.XLOOKUP(D26,'[2]Denied Barcodes'!$A$2:$A$1048576,'[2]Denied Barcodes'!$B$2:$B$1048576,""),"")</f>
        <v/>
      </c>
      <c r="H26" s="4" t="str">
        <f t="shared" si="0"/>
        <v>Credit</v>
      </c>
      <c r="I26" s="6">
        <f>IF(F26="Approved",SUMIF([2]Recalc!A:A,D26,[2]Recalc!BX:BX),0)</f>
        <v>-103.79</v>
      </c>
    </row>
    <row r="27" spans="1:9" x14ac:dyDescent="0.3">
      <c r="A27" s="5">
        <v>45949</v>
      </c>
      <c r="B27" s="4" t="s">
        <v>55</v>
      </c>
      <c r="C27" s="4"/>
      <c r="D27" s="4" t="s">
        <v>216</v>
      </c>
      <c r="E27" s="5">
        <v>45958</v>
      </c>
      <c r="F27" s="4" t="str">
        <f>IF(_xlfn.XLOOKUP(D27,[2]Recalc!A:A,[2]Recalc!A:A,"")=D27,"Approved","Denied")</f>
        <v>Approved</v>
      </c>
      <c r="G27" s="4" t="str">
        <f>IF(F27="Denied",_xlfn.XLOOKUP(D27,'[2]Denied Barcodes'!$A$2:$A$1048576,'[2]Denied Barcodes'!$B$2:$B$1048576,""),"")</f>
        <v/>
      </c>
      <c r="H27" s="4" t="str">
        <f t="shared" si="0"/>
        <v>Credit</v>
      </c>
      <c r="I27" s="6">
        <f>IF(F27="Approved",SUMIF([2]Recalc!A:A,D27,[2]Recalc!BX:BX),0)</f>
        <v>-101.71</v>
      </c>
    </row>
    <row r="28" spans="1:9" x14ac:dyDescent="0.3">
      <c r="A28" s="5">
        <v>45949</v>
      </c>
      <c r="B28" s="4" t="s">
        <v>55</v>
      </c>
      <c r="C28" s="4"/>
      <c r="D28" s="4" t="s">
        <v>217</v>
      </c>
      <c r="E28" s="5">
        <v>45958</v>
      </c>
      <c r="F28" s="4" t="str">
        <f>IF(_xlfn.XLOOKUP(D28,[2]Recalc!A:A,[2]Recalc!A:A,"")=D28,"Approved","Denied")</f>
        <v>Approved</v>
      </c>
      <c r="G28" s="4" t="str">
        <f>IF(F28="Denied",_xlfn.XLOOKUP(D28,'[2]Denied Barcodes'!$A$2:$A$1048576,'[2]Denied Barcodes'!$B$2:$B$1048576,""),"")</f>
        <v/>
      </c>
      <c r="H28" s="4" t="str">
        <f t="shared" si="0"/>
        <v>Credit</v>
      </c>
      <c r="I28" s="6">
        <f>IF(F28="Approved",SUMIF([2]Recalc!A:A,D28,[2]Recalc!BX:BX),0)</f>
        <v>-97.86</v>
      </c>
    </row>
    <row r="29" spans="1:9" x14ac:dyDescent="0.3">
      <c r="A29" s="5">
        <v>45949</v>
      </c>
      <c r="B29" s="4" t="s">
        <v>55</v>
      </c>
      <c r="C29" s="4"/>
      <c r="D29" s="4" t="s">
        <v>218</v>
      </c>
      <c r="E29" s="5">
        <v>45958</v>
      </c>
      <c r="F29" s="4" t="str">
        <f>IF(_xlfn.XLOOKUP(D29,[2]Recalc!A:A,[2]Recalc!A:A,"")=D29,"Approved","Denied")</f>
        <v>Approved</v>
      </c>
      <c r="G29" s="4" t="str">
        <f>IF(F29="Denied",_xlfn.XLOOKUP(D29,'[2]Denied Barcodes'!$A$2:$A$1048576,'[2]Denied Barcodes'!$B$2:$B$1048576,""),"")</f>
        <v/>
      </c>
      <c r="H29" s="4" t="str">
        <f t="shared" si="0"/>
        <v>Credit</v>
      </c>
      <c r="I29" s="6">
        <f>IF(F29="Approved",SUMIF([2]Recalc!A:A,D29,[2]Recalc!BX:BX),0)</f>
        <v>-97.66</v>
      </c>
    </row>
    <row r="30" spans="1:9" x14ac:dyDescent="0.3">
      <c r="A30" s="5">
        <v>45949</v>
      </c>
      <c r="B30" s="4" t="s">
        <v>55</v>
      </c>
      <c r="C30" s="4"/>
      <c r="D30" s="4" t="s">
        <v>219</v>
      </c>
      <c r="E30" s="5">
        <v>45958</v>
      </c>
      <c r="F30" s="4" t="str">
        <f>IF(_xlfn.XLOOKUP(D30,[2]Recalc!A:A,[2]Recalc!A:A,"")=D30,"Approved","Denied")</f>
        <v>Approved</v>
      </c>
      <c r="G30" s="4" t="str">
        <f>IF(F30="Denied",_xlfn.XLOOKUP(D30,'[2]Denied Barcodes'!$A$2:$A$1048576,'[2]Denied Barcodes'!$B$2:$B$1048576,""),"")</f>
        <v/>
      </c>
      <c r="H30" s="4" t="str">
        <f t="shared" si="0"/>
        <v>Credit</v>
      </c>
      <c r="I30" s="6">
        <f>IF(F30="Approved",SUMIF([2]Recalc!A:A,D30,[2]Recalc!BX:BX),0)</f>
        <v>-94.2</v>
      </c>
    </row>
    <row r="31" spans="1:9" x14ac:dyDescent="0.3">
      <c r="A31" s="5">
        <v>45949</v>
      </c>
      <c r="B31" s="4" t="s">
        <v>64</v>
      </c>
      <c r="C31" s="4"/>
      <c r="D31" s="4" t="s">
        <v>220</v>
      </c>
      <c r="E31" s="5">
        <v>45958</v>
      </c>
      <c r="F31" s="4" t="str">
        <f>IF(_xlfn.XLOOKUP(D31,[2]Recalc!A:A,[2]Recalc!A:A,"")=D31,"Approved","Denied")</f>
        <v>Approved</v>
      </c>
      <c r="G31" s="4" t="str">
        <f>IF(F31="Denied",_xlfn.XLOOKUP(D31,'[2]Denied Barcodes'!$A$2:$A$1048576,'[2]Denied Barcodes'!$B$2:$B$1048576,""),"")</f>
        <v/>
      </c>
      <c r="H31" s="4" t="str">
        <f t="shared" si="0"/>
        <v>Credit</v>
      </c>
      <c r="I31" s="6">
        <f>IF(F31="Approved",SUMIF([2]Recalc!A:A,D31,[2]Recalc!BX:BX),0)</f>
        <v>-40.130000000000003</v>
      </c>
    </row>
    <row r="32" spans="1:9" x14ac:dyDescent="0.3">
      <c r="A32" s="5">
        <v>45949</v>
      </c>
      <c r="B32" s="4" t="s">
        <v>64</v>
      </c>
      <c r="C32" s="4"/>
      <c r="D32" s="4" t="s">
        <v>221</v>
      </c>
      <c r="E32" s="5">
        <v>45958</v>
      </c>
      <c r="F32" s="4" t="str">
        <f>IF(_xlfn.XLOOKUP(D32,[2]Recalc!A:A,[2]Recalc!A:A,"")=D32,"Approved","Denied")</f>
        <v>Approved</v>
      </c>
      <c r="G32" s="4" t="str">
        <f>IF(F32="Denied",_xlfn.XLOOKUP(D32,'[2]Denied Barcodes'!$A$2:$A$1048576,'[2]Denied Barcodes'!$B$2:$B$1048576,""),"")</f>
        <v/>
      </c>
      <c r="H32" s="4" t="str">
        <f t="shared" si="0"/>
        <v>Credit</v>
      </c>
      <c r="I32" s="6">
        <f>IF(F32="Approved",SUMIF([2]Recalc!A:A,D32,[2]Recalc!BX:BX),0)</f>
        <v>-36.31</v>
      </c>
    </row>
    <row r="33" spans="1:9" x14ac:dyDescent="0.3">
      <c r="A33" s="5">
        <v>45949</v>
      </c>
      <c r="B33" s="4" t="s">
        <v>64</v>
      </c>
      <c r="C33" s="4"/>
      <c r="D33" s="4" t="s">
        <v>222</v>
      </c>
      <c r="E33" s="5">
        <v>45958</v>
      </c>
      <c r="F33" s="4" t="str">
        <f>IF(_xlfn.XLOOKUP(D33,[2]Recalc!A:A,[2]Recalc!A:A,"")=D33,"Approved","Denied")</f>
        <v>Approved</v>
      </c>
      <c r="G33" s="4" t="str">
        <f>IF(F33="Denied",_xlfn.XLOOKUP(D33,'[2]Denied Barcodes'!$A$2:$A$1048576,'[2]Denied Barcodes'!$B$2:$B$1048576,""),"")</f>
        <v/>
      </c>
      <c r="H33" s="4" t="str">
        <f t="shared" si="0"/>
        <v>Credit</v>
      </c>
      <c r="I33" s="6">
        <f>IF(F33="Approved",SUMIF([2]Recalc!A:A,D33,[2]Recalc!BX:BX),0)</f>
        <v>-36.22</v>
      </c>
    </row>
    <row r="34" spans="1:9" x14ac:dyDescent="0.3">
      <c r="A34" s="5">
        <v>45949</v>
      </c>
      <c r="B34" s="4" t="s">
        <v>64</v>
      </c>
      <c r="C34" s="4"/>
      <c r="D34" s="4" t="s">
        <v>223</v>
      </c>
      <c r="E34" s="5">
        <v>45958</v>
      </c>
      <c r="F34" s="4" t="str">
        <f>IF(_xlfn.XLOOKUP(D34,[2]Recalc!A:A,[2]Recalc!A:A,"")=D34,"Approved","Denied")</f>
        <v>Approved</v>
      </c>
      <c r="G34" s="4" t="str">
        <f>IF(F34="Denied",_xlfn.XLOOKUP(D34,'[2]Denied Barcodes'!$A$2:$A$1048576,'[2]Denied Barcodes'!$B$2:$B$1048576,""),"")</f>
        <v/>
      </c>
      <c r="H34" s="4" t="str">
        <f t="shared" si="0"/>
        <v>Credit</v>
      </c>
      <c r="I34" s="6">
        <f>IF(F34="Approved",SUMIF([2]Recalc!A:A,D34,[2]Recalc!BX:BX),0)</f>
        <v>-35.93</v>
      </c>
    </row>
    <row r="35" spans="1:9" x14ac:dyDescent="0.3">
      <c r="A35" s="5">
        <v>45949</v>
      </c>
      <c r="B35" s="4" t="s">
        <v>64</v>
      </c>
      <c r="C35" s="4"/>
      <c r="D35" s="4" t="s">
        <v>224</v>
      </c>
      <c r="E35" s="5">
        <v>45958</v>
      </c>
      <c r="F35" s="4" t="str">
        <f>IF(_xlfn.XLOOKUP(D35,[2]Recalc!A:A,[2]Recalc!A:A,"")=D35,"Approved","Denied")</f>
        <v>Approved</v>
      </c>
      <c r="G35" s="4" t="str">
        <f>IF(F35="Denied",_xlfn.XLOOKUP(D35,'[2]Denied Barcodes'!$A$2:$A$1048576,'[2]Denied Barcodes'!$B$2:$B$1048576,""),"")</f>
        <v/>
      </c>
      <c r="H35" s="4" t="str">
        <f t="shared" si="0"/>
        <v>Credit</v>
      </c>
      <c r="I35" s="6">
        <f>IF(F35="Approved",SUMIF([2]Recalc!A:A,D35,[2]Recalc!BX:BX),0)</f>
        <v>-34.270000000000003</v>
      </c>
    </row>
    <row r="36" spans="1:9" x14ac:dyDescent="0.3">
      <c r="A36" s="5">
        <v>45949</v>
      </c>
      <c r="B36" s="4" t="s">
        <v>64</v>
      </c>
      <c r="C36" s="4"/>
      <c r="D36" s="4" t="s">
        <v>225</v>
      </c>
      <c r="E36" s="5">
        <v>45958</v>
      </c>
      <c r="F36" s="4" t="str">
        <f>IF(_xlfn.XLOOKUP(D36,[2]Recalc!A:A,[2]Recalc!A:A,"")=D36,"Approved","Denied")</f>
        <v>Approved</v>
      </c>
      <c r="G36" s="4" t="str">
        <f>IF(F36="Denied",_xlfn.XLOOKUP(D36,'[2]Denied Barcodes'!$A$2:$A$1048576,'[2]Denied Barcodes'!$B$2:$B$1048576,""),"")</f>
        <v/>
      </c>
      <c r="H36" s="4" t="str">
        <f t="shared" si="0"/>
        <v>Credit</v>
      </c>
      <c r="I36" s="6">
        <f>IF(F36="Approved",SUMIF([2]Recalc!A:A,D36,[2]Recalc!BX:BX),0)</f>
        <v>-34.01</v>
      </c>
    </row>
    <row r="37" spans="1:9" x14ac:dyDescent="0.3">
      <c r="A37" s="5">
        <v>45949</v>
      </c>
      <c r="B37" s="4" t="s">
        <v>64</v>
      </c>
      <c r="C37" s="4"/>
      <c r="D37" s="4" t="s">
        <v>226</v>
      </c>
      <c r="E37" s="5">
        <v>45958</v>
      </c>
      <c r="F37" s="4" t="str">
        <f>IF(_xlfn.XLOOKUP(D37,[2]Recalc!A:A,[2]Recalc!A:A,"")=D37,"Approved","Denied")</f>
        <v>Approved</v>
      </c>
      <c r="G37" s="4" t="str">
        <f>IF(F37="Denied",_xlfn.XLOOKUP(D37,'[2]Denied Barcodes'!$A$2:$A$1048576,'[2]Denied Barcodes'!$B$2:$B$1048576,""),"")</f>
        <v/>
      </c>
      <c r="H37" s="4" t="str">
        <f t="shared" si="0"/>
        <v>Credit</v>
      </c>
      <c r="I37" s="6">
        <f>IF(F37="Approved",SUMIF([2]Recalc!A:A,D37,[2]Recalc!BX:BX),0)</f>
        <v>-33.770000000000003</v>
      </c>
    </row>
    <row r="38" spans="1:9" x14ac:dyDescent="0.3">
      <c r="A38" s="5">
        <v>45949</v>
      </c>
      <c r="B38" s="4" t="s">
        <v>64</v>
      </c>
      <c r="C38" s="4"/>
      <c r="D38" s="4" t="s">
        <v>227</v>
      </c>
      <c r="E38" s="5">
        <v>45958</v>
      </c>
      <c r="F38" s="4" t="str">
        <f>IF(_xlfn.XLOOKUP(D38,[2]Recalc!A:A,[2]Recalc!A:A,"")=D38,"Approved","Denied")</f>
        <v>Approved</v>
      </c>
      <c r="G38" s="4" t="str">
        <f>IF(F38="Denied",_xlfn.XLOOKUP(D38,'[2]Denied Barcodes'!$A$2:$A$1048576,'[2]Denied Barcodes'!$B$2:$B$1048576,""),"")</f>
        <v/>
      </c>
      <c r="H38" s="4" t="str">
        <f t="shared" si="0"/>
        <v>Credit</v>
      </c>
      <c r="I38" s="6">
        <f>IF(F38="Approved",SUMIF([2]Recalc!A:A,D38,[2]Recalc!BX:BX),0)</f>
        <v>-33.19</v>
      </c>
    </row>
    <row r="39" spans="1:9" x14ac:dyDescent="0.3">
      <c r="A39" s="5">
        <v>45949</v>
      </c>
      <c r="B39" s="4" t="s">
        <v>64</v>
      </c>
      <c r="C39" s="4"/>
      <c r="D39" s="4" t="s">
        <v>228</v>
      </c>
      <c r="E39" s="5">
        <v>45958</v>
      </c>
      <c r="F39" s="4" t="str">
        <f>IF(_xlfn.XLOOKUP(D39,[2]Recalc!A:A,[2]Recalc!A:A,"")=D39,"Approved","Denied")</f>
        <v>Approved</v>
      </c>
      <c r="G39" s="4" t="str">
        <f>IF(F39="Denied",_xlfn.XLOOKUP(D39,'[2]Denied Barcodes'!$A$2:$A$1048576,'[2]Denied Barcodes'!$B$2:$B$1048576,""),"")</f>
        <v/>
      </c>
      <c r="H39" s="4" t="str">
        <f t="shared" si="0"/>
        <v>Credit</v>
      </c>
      <c r="I39" s="6">
        <f>IF(F39="Approved",SUMIF([2]Recalc!A:A,D39,[2]Recalc!BX:BX),0)</f>
        <v>-33.11</v>
      </c>
    </row>
    <row r="40" spans="1:9" x14ac:dyDescent="0.3">
      <c r="A40" s="5">
        <v>45949</v>
      </c>
      <c r="B40" s="4" t="s">
        <v>64</v>
      </c>
      <c r="C40" s="4"/>
      <c r="D40" s="4" t="s">
        <v>229</v>
      </c>
      <c r="E40" s="5">
        <v>45958</v>
      </c>
      <c r="F40" s="4" t="str">
        <f>IF(_xlfn.XLOOKUP(D40,[2]Recalc!A:A,[2]Recalc!A:A,"")=D40,"Approved","Denied")</f>
        <v>Approved</v>
      </c>
      <c r="G40" s="4" t="str">
        <f>IF(F40="Denied",_xlfn.XLOOKUP(D40,'[2]Denied Barcodes'!$A$2:$A$1048576,'[2]Denied Barcodes'!$B$2:$B$1048576,""),"")</f>
        <v/>
      </c>
      <c r="H40" s="4" t="str">
        <f t="shared" si="0"/>
        <v>Credit</v>
      </c>
      <c r="I40" s="6">
        <f>IF(F40="Approved",SUMIF([2]Recalc!A:A,D40,[2]Recalc!BX:BX),0)</f>
        <v>-31.91</v>
      </c>
    </row>
    <row r="41" spans="1:9" x14ac:dyDescent="0.3">
      <c r="A41" s="5">
        <v>45949</v>
      </c>
      <c r="B41" s="4" t="s">
        <v>64</v>
      </c>
      <c r="C41" s="4"/>
      <c r="D41" s="4" t="s">
        <v>230</v>
      </c>
      <c r="E41" s="5">
        <v>45958</v>
      </c>
      <c r="F41" s="4" t="str">
        <f>IF(_xlfn.XLOOKUP(D41,[2]Recalc!A:A,[2]Recalc!A:A,"")=D41,"Approved","Denied")</f>
        <v>Approved</v>
      </c>
      <c r="G41" s="4" t="str">
        <f>IF(F41="Denied",_xlfn.XLOOKUP(D41,'[2]Denied Barcodes'!$A$2:$A$1048576,'[2]Denied Barcodes'!$B$2:$B$1048576,""),"")</f>
        <v/>
      </c>
      <c r="H41" s="4" t="str">
        <f t="shared" si="0"/>
        <v>Credit</v>
      </c>
      <c r="I41" s="6">
        <f>IF(F41="Approved",SUMIF([2]Recalc!A:A,D41,[2]Recalc!BX:BX),0)</f>
        <v>-31.65</v>
      </c>
    </row>
    <row r="42" spans="1:9" x14ac:dyDescent="0.3">
      <c r="A42" s="5">
        <v>45949</v>
      </c>
      <c r="B42" s="4" t="s">
        <v>64</v>
      </c>
      <c r="C42" s="4"/>
      <c r="D42" s="4" t="s">
        <v>231</v>
      </c>
      <c r="E42" s="5">
        <v>45958</v>
      </c>
      <c r="F42" s="4" t="str">
        <f>IF(_xlfn.XLOOKUP(D42,[2]Recalc!A:A,[2]Recalc!A:A,"")=D42,"Approved","Denied")</f>
        <v>Approved</v>
      </c>
      <c r="G42" s="4" t="str">
        <f>IF(F42="Denied",_xlfn.XLOOKUP(D42,'[2]Denied Barcodes'!$A$2:$A$1048576,'[2]Denied Barcodes'!$B$2:$B$1048576,""),"")</f>
        <v/>
      </c>
      <c r="H42" s="4" t="str">
        <f t="shared" si="0"/>
        <v>Credit</v>
      </c>
      <c r="I42" s="6">
        <f>IF(F42="Approved",SUMIF([2]Recalc!A:A,D42,[2]Recalc!BX:BX),0)</f>
        <v>-31.34</v>
      </c>
    </row>
    <row r="43" spans="1:9" x14ac:dyDescent="0.3">
      <c r="A43" s="5">
        <v>45949</v>
      </c>
      <c r="B43" s="4" t="s">
        <v>64</v>
      </c>
      <c r="C43" s="4"/>
      <c r="D43" s="4" t="s">
        <v>232</v>
      </c>
      <c r="E43" s="5">
        <v>45958</v>
      </c>
      <c r="F43" s="4" t="str">
        <f>IF(_xlfn.XLOOKUP(D43,[2]Recalc!A:A,[2]Recalc!A:A,"")=D43,"Approved","Denied")</f>
        <v>Approved</v>
      </c>
      <c r="G43" s="4" t="str">
        <f>IF(F43="Denied",_xlfn.XLOOKUP(D43,'[2]Denied Barcodes'!$A$2:$A$1048576,'[2]Denied Barcodes'!$B$2:$B$1048576,""),"")</f>
        <v/>
      </c>
      <c r="H43" s="4" t="str">
        <f t="shared" si="0"/>
        <v>Credit</v>
      </c>
      <c r="I43" s="6">
        <f>IF(F43="Approved",SUMIF([2]Recalc!A:A,D43,[2]Recalc!BX:BX),0)</f>
        <v>-30.58</v>
      </c>
    </row>
    <row r="44" spans="1:9" x14ac:dyDescent="0.3">
      <c r="A44" s="5">
        <v>45949</v>
      </c>
      <c r="B44" s="4" t="s">
        <v>64</v>
      </c>
      <c r="C44" s="4"/>
      <c r="D44" s="4" t="s">
        <v>233</v>
      </c>
      <c r="E44" s="5">
        <v>45958</v>
      </c>
      <c r="F44" s="4" t="str">
        <f>IF(_xlfn.XLOOKUP(D44,[2]Recalc!A:A,[2]Recalc!A:A,"")=D44,"Approved","Denied")</f>
        <v>Approved</v>
      </c>
      <c r="G44" s="4" t="str">
        <f>IF(F44="Denied",_xlfn.XLOOKUP(D44,'[2]Denied Barcodes'!$A$2:$A$1048576,'[2]Denied Barcodes'!$B$2:$B$1048576,""),"")</f>
        <v/>
      </c>
      <c r="H44" s="4" t="str">
        <f t="shared" si="0"/>
        <v>Credit</v>
      </c>
      <c r="I44" s="6">
        <f>IF(F44="Approved",SUMIF([2]Recalc!A:A,D44,[2]Recalc!BX:BX),0)</f>
        <v>-30.08</v>
      </c>
    </row>
    <row r="45" spans="1:9" x14ac:dyDescent="0.3">
      <c r="A45" s="5">
        <v>45949</v>
      </c>
      <c r="B45" s="4" t="s">
        <v>64</v>
      </c>
      <c r="C45" s="4"/>
      <c r="D45" s="4" t="s">
        <v>234</v>
      </c>
      <c r="E45" s="5">
        <v>45958</v>
      </c>
      <c r="F45" s="4" t="str">
        <f>IF(_xlfn.XLOOKUP(D45,[2]Recalc!A:A,[2]Recalc!A:A,"")=D45,"Approved","Denied")</f>
        <v>Approved</v>
      </c>
      <c r="G45" s="4" t="str">
        <f>IF(F45="Denied",_xlfn.XLOOKUP(D45,'[2]Denied Barcodes'!$A$2:$A$1048576,'[2]Denied Barcodes'!$B$2:$B$1048576,""),"")</f>
        <v/>
      </c>
      <c r="H45" s="4" t="str">
        <f t="shared" si="0"/>
        <v>Credit</v>
      </c>
      <c r="I45" s="6">
        <f>IF(F45="Approved",SUMIF([2]Recalc!A:A,D45,[2]Recalc!BX:BX),0)</f>
        <v>-28.14</v>
      </c>
    </row>
    <row r="46" spans="1:9" x14ac:dyDescent="0.3">
      <c r="A46" s="5">
        <v>45949</v>
      </c>
      <c r="B46" s="4" t="s">
        <v>64</v>
      </c>
      <c r="C46" s="4"/>
      <c r="D46" s="4" t="s">
        <v>235</v>
      </c>
      <c r="E46" s="5">
        <v>45958</v>
      </c>
      <c r="F46" s="4" t="str">
        <f>IF(_xlfn.XLOOKUP(D46,[2]Recalc!A:A,[2]Recalc!A:A,"")=D46,"Approved","Denied")</f>
        <v>Approved</v>
      </c>
      <c r="G46" s="4" t="str">
        <f>IF(F46="Denied",_xlfn.XLOOKUP(D46,'[2]Denied Barcodes'!$A$2:$A$1048576,'[2]Denied Barcodes'!$B$2:$B$1048576,""),"")</f>
        <v/>
      </c>
      <c r="H46" s="4" t="str">
        <f t="shared" si="0"/>
        <v>Credit</v>
      </c>
      <c r="I46" s="6">
        <f>IF(F46="Approved",SUMIF([2]Recalc!A:A,D46,[2]Recalc!BX:BX),0)</f>
        <v>-26.8</v>
      </c>
    </row>
    <row r="47" spans="1:9" x14ac:dyDescent="0.3">
      <c r="A47" s="5">
        <v>45949</v>
      </c>
      <c r="B47" s="4" t="s">
        <v>64</v>
      </c>
      <c r="C47" s="4"/>
      <c r="D47" s="4" t="s">
        <v>236</v>
      </c>
      <c r="E47" s="5">
        <v>45958</v>
      </c>
      <c r="F47" s="4" t="str">
        <f>IF(_xlfn.XLOOKUP(D47,[2]Recalc!A:A,[2]Recalc!A:A,"")=D47,"Approved","Denied")</f>
        <v>Approved</v>
      </c>
      <c r="G47" s="4" t="str">
        <f>IF(F47="Denied",_xlfn.XLOOKUP(D47,'[2]Denied Barcodes'!$A$2:$A$1048576,'[2]Denied Barcodes'!$B$2:$B$1048576,""),"")</f>
        <v/>
      </c>
      <c r="H47" s="4" t="str">
        <f t="shared" si="0"/>
        <v>Credit</v>
      </c>
      <c r="I47" s="6">
        <f>IF(F47="Approved",SUMIF([2]Recalc!A:A,D47,[2]Recalc!BX:BX),0)</f>
        <v>-25.95</v>
      </c>
    </row>
    <row r="48" spans="1:9" x14ac:dyDescent="0.3">
      <c r="A48" s="5">
        <v>45949</v>
      </c>
      <c r="B48" s="4" t="s">
        <v>64</v>
      </c>
      <c r="C48" s="4"/>
      <c r="D48" s="4" t="s">
        <v>237</v>
      </c>
      <c r="E48" s="5">
        <v>45958</v>
      </c>
      <c r="F48" s="4" t="str">
        <f>IF(_xlfn.XLOOKUP(D48,[2]Recalc!A:A,[2]Recalc!A:A,"")=D48,"Approved","Denied")</f>
        <v>Approved</v>
      </c>
      <c r="G48" s="4" t="str">
        <f>IF(F48="Denied",_xlfn.XLOOKUP(D48,'[2]Denied Barcodes'!$A$2:$A$1048576,'[2]Denied Barcodes'!$B$2:$B$1048576,""),"")</f>
        <v/>
      </c>
      <c r="H48" s="4" t="str">
        <f t="shared" si="0"/>
        <v>Credit</v>
      </c>
      <c r="I48" s="6">
        <f>IF(F48="Approved",SUMIF([2]Recalc!A:A,D48,[2]Recalc!BX:BX),0)</f>
        <v>-20.9</v>
      </c>
    </row>
    <row r="49" spans="1:9" x14ac:dyDescent="0.3">
      <c r="A49" s="5">
        <v>45949</v>
      </c>
      <c r="B49" s="4" t="s">
        <v>64</v>
      </c>
      <c r="C49" s="4"/>
      <c r="D49" s="4" t="s">
        <v>238</v>
      </c>
      <c r="E49" s="5">
        <v>45958</v>
      </c>
      <c r="F49" s="4" t="str">
        <f>IF(_xlfn.XLOOKUP(D49,[2]Recalc!A:A,[2]Recalc!A:A,"")=D49,"Approved","Denied")</f>
        <v>Approved</v>
      </c>
      <c r="G49" s="4" t="str">
        <f>IF(F49="Denied",_xlfn.XLOOKUP(D49,'[2]Denied Barcodes'!$A$2:$A$1048576,'[2]Denied Barcodes'!$B$2:$B$1048576,""),"")</f>
        <v/>
      </c>
      <c r="H49" s="4" t="str">
        <f t="shared" si="0"/>
        <v>Credit</v>
      </c>
      <c r="I49" s="6">
        <f>IF(F49="Approved",SUMIF([2]Recalc!A:A,D49,[2]Recalc!BX:BX),0)</f>
        <v>-20.78</v>
      </c>
    </row>
    <row r="50" spans="1:9" x14ac:dyDescent="0.3">
      <c r="A50" s="5">
        <v>45949</v>
      </c>
      <c r="B50" s="4" t="s">
        <v>64</v>
      </c>
      <c r="C50" s="4"/>
      <c r="D50" s="4" t="s">
        <v>239</v>
      </c>
      <c r="E50" s="5">
        <v>45958</v>
      </c>
      <c r="F50" s="4" t="str">
        <f>IF(_xlfn.XLOOKUP(D50,[2]Recalc!A:A,[2]Recalc!A:A,"")=D50,"Approved","Denied")</f>
        <v>Approved</v>
      </c>
      <c r="G50" s="4" t="str">
        <f>IF(F50="Denied",_xlfn.XLOOKUP(D50,'[2]Denied Barcodes'!$A$2:$A$1048576,'[2]Denied Barcodes'!$B$2:$B$1048576,""),"")</f>
        <v/>
      </c>
      <c r="H50" s="4" t="str">
        <f t="shared" si="0"/>
        <v>Credit</v>
      </c>
      <c r="I50" s="6">
        <f>IF(F50="Approved",SUMIF([2]Recalc!A:A,D50,[2]Recalc!BX:BX),0)</f>
        <v>-19.21</v>
      </c>
    </row>
    <row r="51" spans="1:9" x14ac:dyDescent="0.3">
      <c r="A51" s="5">
        <v>45949</v>
      </c>
      <c r="B51" s="4" t="s">
        <v>64</v>
      </c>
      <c r="C51" s="4"/>
      <c r="D51" s="4" t="s">
        <v>240</v>
      </c>
      <c r="E51" s="5">
        <v>45958</v>
      </c>
      <c r="F51" s="4" t="str">
        <f>IF(_xlfn.XLOOKUP(D51,[2]Recalc!A:A,[2]Recalc!A:A,"")=D51,"Approved","Denied")</f>
        <v>Approved</v>
      </c>
      <c r="G51" s="4" t="str">
        <f>IF(F51="Denied",_xlfn.XLOOKUP(D51,'[2]Denied Barcodes'!$A$2:$A$1048576,'[2]Denied Barcodes'!$B$2:$B$1048576,""),"")</f>
        <v/>
      </c>
      <c r="H51" s="4" t="str">
        <f t="shared" si="0"/>
        <v>Credit</v>
      </c>
      <c r="I51" s="6">
        <f>IF(F51="Approved",SUMIF([2]Recalc!A:A,D51,[2]Recalc!BX:BX),0)</f>
        <v>-18.21</v>
      </c>
    </row>
    <row r="52" spans="1:9" x14ac:dyDescent="0.3">
      <c r="A52" s="5">
        <v>45949</v>
      </c>
      <c r="B52" s="4" t="s">
        <v>64</v>
      </c>
      <c r="C52" s="4"/>
      <c r="D52" s="4" t="s">
        <v>241</v>
      </c>
      <c r="E52" s="5">
        <v>45958</v>
      </c>
      <c r="F52" s="4" t="str">
        <f>IF(_xlfn.XLOOKUP(D52,[2]Recalc!A:A,[2]Recalc!A:A,"")=D52,"Approved","Denied")</f>
        <v>Approved</v>
      </c>
      <c r="G52" s="4" t="str">
        <f>IF(F52="Denied",_xlfn.XLOOKUP(D52,'[2]Denied Barcodes'!$A$2:$A$1048576,'[2]Denied Barcodes'!$B$2:$B$1048576,""),"")</f>
        <v/>
      </c>
      <c r="H52" s="4" t="str">
        <f t="shared" si="0"/>
        <v>Credit</v>
      </c>
      <c r="I52" s="6">
        <f>IF(F52="Approved",SUMIF([2]Recalc!A:A,D52,[2]Recalc!BX:BX),0)</f>
        <v>-15.22</v>
      </c>
    </row>
    <row r="53" spans="1:9" x14ac:dyDescent="0.3">
      <c r="A53" s="5">
        <v>45949</v>
      </c>
      <c r="B53" s="4" t="s">
        <v>64</v>
      </c>
      <c r="C53" s="4"/>
      <c r="D53" s="4" t="s">
        <v>242</v>
      </c>
      <c r="E53" s="5">
        <v>45958</v>
      </c>
      <c r="F53" s="4" t="str">
        <f>IF(_xlfn.XLOOKUP(D53,[2]Recalc!A:A,[2]Recalc!A:A,"")=D53,"Approved","Denied")</f>
        <v>Approved</v>
      </c>
      <c r="G53" s="4" t="str">
        <f>IF(F53="Denied",_xlfn.XLOOKUP(D53,'[2]Denied Barcodes'!$A$2:$A$1048576,'[2]Denied Barcodes'!$B$2:$B$1048576,""),"")</f>
        <v/>
      </c>
      <c r="H53" s="4" t="str">
        <f t="shared" si="0"/>
        <v>Credit</v>
      </c>
      <c r="I53" s="6">
        <f>IF(F53="Approved",SUMIF([2]Recalc!A:A,D53,[2]Recalc!BX:BX),0)</f>
        <v>-15.09</v>
      </c>
    </row>
    <row r="54" spans="1:9" x14ac:dyDescent="0.3">
      <c r="A54" s="5">
        <v>45949</v>
      </c>
      <c r="B54" s="4" t="s">
        <v>64</v>
      </c>
      <c r="C54" s="4"/>
      <c r="D54" s="4" t="s">
        <v>243</v>
      </c>
      <c r="E54" s="5">
        <v>45958</v>
      </c>
      <c r="F54" s="4" t="str">
        <f>IF(_xlfn.XLOOKUP(D54,[2]Recalc!A:A,[2]Recalc!A:A,"")=D54,"Approved","Denied")</f>
        <v>Approved</v>
      </c>
      <c r="G54" s="4" t="str">
        <f>IF(F54="Denied",_xlfn.XLOOKUP(D54,'[2]Denied Barcodes'!$A$2:$A$1048576,'[2]Denied Barcodes'!$B$2:$B$1048576,""),"")</f>
        <v/>
      </c>
      <c r="H54" s="4" t="str">
        <f t="shared" si="0"/>
        <v>Credit</v>
      </c>
      <c r="I54" s="6">
        <f>IF(F54="Approved",SUMIF([2]Recalc!A:A,D54,[2]Recalc!BX:BX),0)</f>
        <v>-14.98</v>
      </c>
    </row>
    <row r="55" spans="1:9" x14ac:dyDescent="0.3">
      <c r="A55" s="5">
        <v>45949</v>
      </c>
      <c r="B55" s="4" t="s">
        <v>64</v>
      </c>
      <c r="C55" s="4"/>
      <c r="D55" s="4" t="s">
        <v>244</v>
      </c>
      <c r="E55" s="5">
        <v>45958</v>
      </c>
      <c r="F55" s="4" t="str">
        <f>IF(_xlfn.XLOOKUP(D55,[2]Recalc!A:A,[2]Recalc!A:A,"")=D55,"Approved","Denied")</f>
        <v>Approved</v>
      </c>
      <c r="G55" s="4" t="str">
        <f>IF(F55="Denied",_xlfn.XLOOKUP(D55,'[2]Denied Barcodes'!$A$2:$A$1048576,'[2]Denied Barcodes'!$B$2:$B$1048576,""),"")</f>
        <v/>
      </c>
      <c r="H55" s="4" t="str">
        <f t="shared" si="0"/>
        <v>Credit</v>
      </c>
      <c r="I55" s="6">
        <f>IF(F55="Approved",SUMIF([2]Recalc!A:A,D55,[2]Recalc!BX:BX),0)</f>
        <v>-14.49</v>
      </c>
    </row>
    <row r="56" spans="1:9" x14ac:dyDescent="0.3">
      <c r="A56" s="5">
        <v>45949</v>
      </c>
      <c r="B56" s="4" t="s">
        <v>55</v>
      </c>
      <c r="C56" s="4"/>
      <c r="D56" s="4" t="s">
        <v>245</v>
      </c>
      <c r="E56" s="5">
        <v>45958</v>
      </c>
      <c r="F56" s="4" t="str">
        <f>IF(_xlfn.XLOOKUP(D56,[2]Recalc!A:A,[2]Recalc!A:A,"")=D56,"Approved","Denied")</f>
        <v>Denied</v>
      </c>
      <c r="G56" s="4" t="str">
        <f>IF(F56="Denied",_xlfn.XLOOKUP(D56,'[2]Denied Barcodes'!$A$2:$A$1048576,'[2]Denied Barcodes'!$B$2:$B$1048576,""),"")</f>
        <v>Denied, measured dimensions line up with vpod</v>
      </c>
      <c r="H56" s="4" t="str">
        <f t="shared" si="0"/>
        <v/>
      </c>
      <c r="I56" s="6">
        <f>IF(F56="Approved",SUMIF([2]Recalc!A:A,D56,[2]Recalc!BX:BX),0)</f>
        <v>0</v>
      </c>
    </row>
    <row r="57" spans="1:9" x14ac:dyDescent="0.3">
      <c r="A57" s="5">
        <v>45949</v>
      </c>
      <c r="B57" s="4" t="s">
        <v>55</v>
      </c>
      <c r="C57" s="4"/>
      <c r="D57" s="4" t="s">
        <v>246</v>
      </c>
      <c r="E57" s="5">
        <v>45958</v>
      </c>
      <c r="F57" s="4" t="str">
        <f>IF(_xlfn.XLOOKUP(D57,[2]Recalc!A:A,[2]Recalc!A:A,"")=D57,"Approved","Denied")</f>
        <v>Denied</v>
      </c>
      <c r="G57" s="4" t="str">
        <f>IF(F57="Denied",_xlfn.XLOOKUP(D57,'[2]Denied Barcodes'!$A$2:$A$1048576,'[2]Denied Barcodes'!$B$2:$B$1048576,""),"")</f>
        <v>Denied, measured dimensions line up with vpod</v>
      </c>
      <c r="H57" s="4" t="str">
        <f t="shared" si="0"/>
        <v/>
      </c>
      <c r="I57" s="6">
        <f>IF(F57="Approved",SUMIF([2]Recalc!A:A,D57,[2]Recalc!BX:BX),0)</f>
        <v>0</v>
      </c>
    </row>
    <row r="58" spans="1:9" x14ac:dyDescent="0.3">
      <c r="A58" s="5">
        <v>45949</v>
      </c>
      <c r="B58" s="4" t="s">
        <v>64</v>
      </c>
      <c r="C58" s="4"/>
      <c r="D58" s="4" t="s">
        <v>247</v>
      </c>
      <c r="E58" s="5">
        <v>45958</v>
      </c>
      <c r="F58" s="4" t="str">
        <f>IF(_xlfn.XLOOKUP(D58,[2]Recalc!A:A,[2]Recalc!A:A,"")=D58,"Approved","Denied")</f>
        <v>Denied</v>
      </c>
      <c r="G58" s="4" t="str">
        <f>IF(F58="Denied",_xlfn.XLOOKUP(D58,'[2]Denied Barcodes'!$A$2:$A$1048576,'[2]Denied Barcodes'!$B$2:$B$1048576,""),"")</f>
        <v>Denied, dimensions line up with vpod</v>
      </c>
      <c r="H58" s="4" t="str">
        <f t="shared" si="0"/>
        <v/>
      </c>
      <c r="I58" s="6">
        <f>IF(F58="Approved",SUMIF([2]Recalc!A:A,D58,[2]Recalc!BX:BX),0)</f>
        <v>0</v>
      </c>
    </row>
    <row r="59" spans="1:9" x14ac:dyDescent="0.3">
      <c r="A59" s="5">
        <v>45949</v>
      </c>
      <c r="B59" s="4" t="s">
        <v>64</v>
      </c>
      <c r="C59" s="4"/>
      <c r="D59" s="4" t="s">
        <v>248</v>
      </c>
      <c r="E59" s="5">
        <v>45958</v>
      </c>
      <c r="F59" s="4" t="str">
        <f>IF(_xlfn.XLOOKUP(D59,[2]Recalc!A:A,[2]Recalc!A:A,"")=D59,"Approved","Denied")</f>
        <v>Denied</v>
      </c>
      <c r="G59" s="4" t="str">
        <f>IF(F59="Denied",_xlfn.XLOOKUP(D59,'[2]Denied Barcodes'!$A$2:$A$1048576,'[2]Denied Barcodes'!$B$2:$B$1048576,""),"")</f>
        <v>Denied, dimensions line up with vpod</v>
      </c>
      <c r="H59" s="4" t="str">
        <f t="shared" si="0"/>
        <v/>
      </c>
      <c r="I59" s="6">
        <f>IF(F59="Approved",SUMIF([2]Recalc!A:A,D59,[2]Recalc!BX:BX),0)</f>
        <v>0</v>
      </c>
    </row>
    <row r="60" spans="1:9" x14ac:dyDescent="0.3">
      <c r="A60" s="5">
        <v>45949</v>
      </c>
      <c r="B60" s="4" t="s">
        <v>64</v>
      </c>
      <c r="C60" s="4"/>
      <c r="D60" s="4" t="s">
        <v>249</v>
      </c>
      <c r="E60" s="5">
        <v>45958</v>
      </c>
      <c r="F60" s="4" t="str">
        <f>IF(_xlfn.XLOOKUP(D60,[2]Recalc!A:A,[2]Recalc!A:A,"")=D60,"Approved","Denied")</f>
        <v>Denied</v>
      </c>
      <c r="G60" s="4" t="str">
        <f>IF(F60="Denied",_xlfn.XLOOKUP(D60,'[2]Denied Barcodes'!$A$2:$A$1048576,'[2]Denied Barcodes'!$B$2:$B$1048576,""),"")</f>
        <v>Denied, dimensions line up with vpod and meet girth definition for AH</v>
      </c>
      <c r="H60" s="4" t="str">
        <f t="shared" si="0"/>
        <v/>
      </c>
      <c r="I60" s="6">
        <f>IF(F60="Approved",SUMIF([2]Recalc!A:A,D60,[2]Recalc!BX:BX),0)</f>
        <v>0</v>
      </c>
    </row>
    <row r="61" spans="1:9" x14ac:dyDescent="0.3">
      <c r="A61" s="5">
        <v>45949</v>
      </c>
      <c r="B61" s="4" t="s">
        <v>64</v>
      </c>
      <c r="C61" s="4"/>
      <c r="D61" s="4" t="s">
        <v>250</v>
      </c>
      <c r="E61" s="5">
        <v>45958</v>
      </c>
      <c r="F61" s="4" t="str">
        <f>IF(_xlfn.XLOOKUP(D61,[2]Recalc!A:A,[2]Recalc!A:A,"")=D61,"Approved","Denied")</f>
        <v>Denied</v>
      </c>
      <c r="G61" s="4" t="str">
        <f>IF(F61="Denied",_xlfn.XLOOKUP(D61,'[2]Denied Barcodes'!$A$2:$A$1048576,'[2]Denied Barcodes'!$B$2:$B$1048576,""),"")</f>
        <v>Denied, dimensions line up with vpod</v>
      </c>
      <c r="H61" s="4" t="str">
        <f t="shared" si="0"/>
        <v/>
      </c>
      <c r="I61" s="6">
        <f>IF(F61="Approved",SUMIF([2]Recalc!A:A,D61,[2]Recalc!BX:BX),0)</f>
        <v>0</v>
      </c>
    </row>
    <row r="62" spans="1:9" x14ac:dyDescent="0.3">
      <c r="A62" s="5">
        <v>45949</v>
      </c>
      <c r="B62" s="4" t="s">
        <v>64</v>
      </c>
      <c r="C62" s="4"/>
      <c r="D62" s="4" t="s">
        <v>251</v>
      </c>
      <c r="E62" s="5">
        <v>45958</v>
      </c>
      <c r="F62" s="4" t="str">
        <f>IF(_xlfn.XLOOKUP(D62,[2]Recalc!A:A,[2]Recalc!A:A,"")=D62,"Approved","Denied")</f>
        <v>Denied</v>
      </c>
      <c r="G62" s="4" t="str">
        <f>IF(F62="Denied",_xlfn.XLOOKUP(D62,'[2]Denied Barcodes'!$A$2:$A$1048576,'[2]Denied Barcodes'!$B$2:$B$1048576,""),"")</f>
        <v>Denied, dimensions line up with vpod and meet girth definition for AH</v>
      </c>
      <c r="H62" s="4" t="str">
        <f t="shared" si="0"/>
        <v/>
      </c>
      <c r="I62" s="6">
        <f>IF(F62="Approved",SUMIF([2]Recalc!A:A,D62,[2]Recalc!BX:BX),0)</f>
        <v>0</v>
      </c>
    </row>
    <row r="63" spans="1:9" x14ac:dyDescent="0.3">
      <c r="A63" s="5">
        <v>45949</v>
      </c>
      <c r="B63" s="4" t="s">
        <v>64</v>
      </c>
      <c r="C63" s="4"/>
      <c r="D63" s="4" t="s">
        <v>252</v>
      </c>
      <c r="E63" s="5">
        <v>45958</v>
      </c>
      <c r="F63" s="4" t="str">
        <f>IF(_xlfn.XLOOKUP(D63,[2]Recalc!A:A,[2]Recalc!A:A,"")=D63,"Approved","Denied")</f>
        <v>Denied</v>
      </c>
      <c r="G63" s="4" t="str">
        <f>IF(F63="Denied",_xlfn.XLOOKUP(D63,'[2]Denied Barcodes'!$A$2:$A$1048576,'[2]Denied Barcodes'!$B$2:$B$1048576,""),"")</f>
        <v>Denied, dimensions line up with vpod</v>
      </c>
      <c r="H63" s="4" t="str">
        <f t="shared" si="0"/>
        <v/>
      </c>
      <c r="I63" s="6">
        <f>IF(F63="Approved",SUMIF([2]Recalc!A:A,D63,[2]Recalc!BX:BX),0)</f>
        <v>0</v>
      </c>
    </row>
    <row r="64" spans="1:9" x14ac:dyDescent="0.3">
      <c r="A64" s="5">
        <v>45949</v>
      </c>
      <c r="B64" s="4" t="s">
        <v>64</v>
      </c>
      <c r="C64" s="4"/>
      <c r="D64" s="4" t="s">
        <v>253</v>
      </c>
      <c r="E64" s="5">
        <v>45958</v>
      </c>
      <c r="F64" s="4" t="str">
        <f>IF(_xlfn.XLOOKUP(D64,[2]Recalc!A:A,[2]Recalc!A:A,"")=D64,"Approved","Denied")</f>
        <v>Denied</v>
      </c>
      <c r="G64" s="4" t="str">
        <f>IF(F64="Denied",_xlfn.XLOOKUP(D64,'[2]Denied Barcodes'!$A$2:$A$1048576,'[2]Denied Barcodes'!$B$2:$B$1048576,""),"")</f>
        <v>Denied, dimensions line up with vpod</v>
      </c>
      <c r="H64" s="4" t="str">
        <f t="shared" si="0"/>
        <v/>
      </c>
      <c r="I64" s="6">
        <f>IF(F64="Approved",SUMIF([2]Recalc!A:A,D64,[2]Recalc!BX:BX),0)</f>
        <v>0</v>
      </c>
    </row>
    <row r="65" spans="1:9" x14ac:dyDescent="0.3">
      <c r="A65" s="5">
        <v>45949</v>
      </c>
      <c r="B65" s="4" t="s">
        <v>64</v>
      </c>
      <c r="C65" s="4"/>
      <c r="D65" s="4" t="s">
        <v>254</v>
      </c>
      <c r="E65" s="5">
        <v>45958</v>
      </c>
      <c r="F65" s="4" t="str">
        <f>IF(_xlfn.XLOOKUP(D65,[2]Recalc!A:A,[2]Recalc!A:A,"")=D65,"Approved","Denied")</f>
        <v>Denied</v>
      </c>
      <c r="G65" s="4" t="str">
        <f>IF(F65="Denied",_xlfn.XLOOKUP(D65,'[2]Denied Barcodes'!$A$2:$A$1048576,'[2]Denied Barcodes'!$B$2:$B$1048576,""),"")</f>
        <v>Denied, dimensions line up with vpod</v>
      </c>
      <c r="H65" s="4" t="str">
        <f t="shared" si="0"/>
        <v/>
      </c>
      <c r="I65" s="6">
        <f>IF(F65="Approved",SUMIF([2]Recalc!A:A,D65,[2]Recalc!BX:BX),0)</f>
        <v>0</v>
      </c>
    </row>
    <row r="66" spans="1:9" x14ac:dyDescent="0.3">
      <c r="A66" s="5">
        <v>45949</v>
      </c>
      <c r="B66" s="4" t="s">
        <v>64</v>
      </c>
      <c r="C66" s="4"/>
      <c r="D66" s="4" t="s">
        <v>255</v>
      </c>
      <c r="E66" s="5">
        <v>45958</v>
      </c>
      <c r="F66" s="4" t="str">
        <f>IF(_xlfn.XLOOKUP(D66,[2]Recalc!A:A,[2]Recalc!A:A,"")=D66,"Approved","Denied")</f>
        <v>Denied</v>
      </c>
      <c r="G66" s="4" t="str">
        <f>IF(F66="Denied",_xlfn.XLOOKUP(D66,'[2]Denied Barcodes'!$A$2:$A$1048576,'[2]Denied Barcodes'!$B$2:$B$1048576,""),"")</f>
        <v>Denied, dimensions line up with vpod and meet girth definition for AH</v>
      </c>
      <c r="H66" s="4" t="str">
        <f t="shared" ref="H66:H129" si="1">IF(I66&lt;0,"Credit",IF(I66&gt;0,"Debit",""))</f>
        <v/>
      </c>
      <c r="I66" s="6">
        <f>IF(F66="Approved",SUMIF([2]Recalc!A:A,D66,[2]Recalc!BX:BX),0)</f>
        <v>0</v>
      </c>
    </row>
    <row r="67" spans="1:9" x14ac:dyDescent="0.3">
      <c r="A67" s="5">
        <v>45949</v>
      </c>
      <c r="B67" s="4" t="s">
        <v>64</v>
      </c>
      <c r="C67" s="4"/>
      <c r="D67" s="4" t="s">
        <v>256</v>
      </c>
      <c r="E67" s="5">
        <v>45958</v>
      </c>
      <c r="F67" s="4" t="str">
        <f>IF(_xlfn.XLOOKUP(D67,[2]Recalc!A:A,[2]Recalc!A:A,"")=D67,"Approved","Denied")</f>
        <v>Denied</v>
      </c>
      <c r="G67" s="4" t="str">
        <f>IF(F67="Denied",_xlfn.XLOOKUP(D67,'[2]Denied Barcodes'!$A$2:$A$1048576,'[2]Denied Barcodes'!$B$2:$B$1048576,""),"")</f>
        <v>Denied, dimensions line up with vpod and meet girth definition for AH</v>
      </c>
      <c r="H67" s="4" t="str">
        <f t="shared" si="1"/>
        <v/>
      </c>
      <c r="I67" s="6">
        <f>IF(F67="Approved",SUMIF([2]Recalc!A:A,D67,[2]Recalc!BX:BX),0)</f>
        <v>0</v>
      </c>
    </row>
    <row r="68" spans="1:9" x14ac:dyDescent="0.3">
      <c r="A68" s="5">
        <v>45949</v>
      </c>
      <c r="B68" s="4" t="s">
        <v>64</v>
      </c>
      <c r="C68" s="4"/>
      <c r="D68" s="4" t="s">
        <v>257</v>
      </c>
      <c r="E68" s="5">
        <v>45958</v>
      </c>
      <c r="F68" s="4" t="str">
        <f>IF(_xlfn.XLOOKUP(D68,[2]Recalc!A:A,[2]Recalc!A:A,"")=D68,"Approved","Denied")</f>
        <v>Denied</v>
      </c>
      <c r="G68" s="4" t="str">
        <f>IF(F68="Denied",_xlfn.XLOOKUP(D68,'[2]Denied Barcodes'!$A$2:$A$1048576,'[2]Denied Barcodes'!$B$2:$B$1048576,""),"")</f>
        <v>Denied, dimensions line up with vpod and meet girth definition for AH</v>
      </c>
      <c r="H68" s="4" t="str">
        <f t="shared" si="1"/>
        <v/>
      </c>
      <c r="I68" s="6">
        <f>IF(F68="Approved",SUMIF([2]Recalc!A:A,D68,[2]Recalc!BX:BX),0)</f>
        <v>0</v>
      </c>
    </row>
    <row r="69" spans="1:9" x14ac:dyDescent="0.3">
      <c r="A69" s="5">
        <v>45949</v>
      </c>
      <c r="B69" s="4" t="s">
        <v>64</v>
      </c>
      <c r="C69" s="4"/>
      <c r="D69" s="4" t="s">
        <v>258</v>
      </c>
      <c r="E69" s="5">
        <v>45958</v>
      </c>
      <c r="F69" s="4" t="str">
        <f>IF(_xlfn.XLOOKUP(D69,[2]Recalc!A:A,[2]Recalc!A:A,"")=D69,"Approved","Denied")</f>
        <v>Denied</v>
      </c>
      <c r="G69" s="4" t="str">
        <f>IF(F69="Denied",_xlfn.XLOOKUP(D69,'[2]Denied Barcodes'!$A$2:$A$1048576,'[2]Denied Barcodes'!$B$2:$B$1048576,""),"")</f>
        <v>Denied, dimensions line up with vpod</v>
      </c>
      <c r="H69" s="4" t="str">
        <f t="shared" si="1"/>
        <v/>
      </c>
      <c r="I69" s="6">
        <f>IF(F69="Approved",SUMIF([2]Recalc!A:A,D69,[2]Recalc!BX:BX),0)</f>
        <v>0</v>
      </c>
    </row>
    <row r="70" spans="1:9" x14ac:dyDescent="0.3">
      <c r="A70" s="5">
        <v>45949</v>
      </c>
      <c r="B70" s="4" t="s">
        <v>64</v>
      </c>
      <c r="C70" s="4"/>
      <c r="D70" s="4" t="s">
        <v>259</v>
      </c>
      <c r="E70" s="5">
        <v>45958</v>
      </c>
      <c r="F70" s="4" t="str">
        <f>IF(_xlfn.XLOOKUP(D70,[2]Recalc!A:A,[2]Recalc!A:A,"")=D70,"Approved","Denied")</f>
        <v>Denied</v>
      </c>
      <c r="G70" s="4" t="str">
        <f>IF(F70="Denied",_xlfn.XLOOKUP(D70,'[2]Denied Barcodes'!$A$2:$A$1048576,'[2]Denied Barcodes'!$B$2:$B$1048576,""),"")</f>
        <v>Denied, dimensions line up with vpod</v>
      </c>
      <c r="H70" s="4" t="str">
        <f t="shared" si="1"/>
        <v/>
      </c>
      <c r="I70" s="6">
        <f>IF(F70="Approved",SUMIF([2]Recalc!A:A,D70,[2]Recalc!BX:BX),0)</f>
        <v>0</v>
      </c>
    </row>
    <row r="71" spans="1:9" x14ac:dyDescent="0.3">
      <c r="A71" s="5">
        <v>45949</v>
      </c>
      <c r="B71" s="4" t="s">
        <v>64</v>
      </c>
      <c r="C71" s="4"/>
      <c r="D71" s="4" t="s">
        <v>260</v>
      </c>
      <c r="E71" s="5">
        <v>45958</v>
      </c>
      <c r="F71" s="4" t="str">
        <f>IF(_xlfn.XLOOKUP(D71,[2]Recalc!A:A,[2]Recalc!A:A,"")=D71,"Approved","Denied")</f>
        <v>Denied</v>
      </c>
      <c r="G71" s="4" t="str">
        <f>IF(F71="Denied",_xlfn.XLOOKUP(D71,'[2]Denied Barcodes'!$A$2:$A$1048576,'[2]Denied Barcodes'!$B$2:$B$1048576,""),"")</f>
        <v>Denied, dimensions line up with vpod</v>
      </c>
      <c r="H71" s="4" t="str">
        <f t="shared" si="1"/>
        <v/>
      </c>
      <c r="I71" s="6">
        <f>IF(F71="Approved",SUMIF([2]Recalc!A:A,D71,[2]Recalc!BX:BX),0)</f>
        <v>0</v>
      </c>
    </row>
    <row r="72" spans="1:9" x14ac:dyDescent="0.3">
      <c r="A72" s="5">
        <v>45949</v>
      </c>
      <c r="B72" s="4" t="s">
        <v>64</v>
      </c>
      <c r="C72" s="4"/>
      <c r="D72" s="4" t="s">
        <v>261</v>
      </c>
      <c r="E72" s="5">
        <v>45958</v>
      </c>
      <c r="F72" s="4" t="str">
        <f>IF(_xlfn.XLOOKUP(D72,[2]Recalc!A:A,[2]Recalc!A:A,"")=D72,"Approved","Denied")</f>
        <v>Denied</v>
      </c>
      <c r="G72" s="4" t="str">
        <f>IF(F72="Denied",_xlfn.XLOOKUP(D72,'[2]Denied Barcodes'!$A$2:$A$1048576,'[2]Denied Barcodes'!$B$2:$B$1048576,""),"")</f>
        <v>Denied, dimensions line up with vpod and meet girth definition for AH</v>
      </c>
      <c r="H72" s="4" t="str">
        <f t="shared" si="1"/>
        <v/>
      </c>
      <c r="I72" s="6">
        <f>IF(F72="Approved",SUMIF([2]Recalc!A:A,D72,[2]Recalc!BX:BX),0)</f>
        <v>0</v>
      </c>
    </row>
    <row r="73" spans="1:9" x14ac:dyDescent="0.3">
      <c r="A73" s="5">
        <v>45949</v>
      </c>
      <c r="B73" s="4" t="s">
        <v>64</v>
      </c>
      <c r="C73" s="4"/>
      <c r="D73" s="4" t="s">
        <v>262</v>
      </c>
      <c r="E73" s="5">
        <v>45958</v>
      </c>
      <c r="F73" s="4" t="str">
        <f>IF(_xlfn.XLOOKUP(D73,[2]Recalc!A:A,[2]Recalc!A:A,"")=D73,"Approved","Denied")</f>
        <v>Denied</v>
      </c>
      <c r="G73" s="4" t="str">
        <f>IF(F73="Denied",_xlfn.XLOOKUP(D73,'[2]Denied Barcodes'!$A$2:$A$1048576,'[2]Denied Barcodes'!$B$2:$B$1048576,""),"")</f>
        <v>Denied, dimensions line up with vpod</v>
      </c>
      <c r="H73" s="4" t="str">
        <f t="shared" si="1"/>
        <v/>
      </c>
      <c r="I73" s="6">
        <f>IF(F73="Approved",SUMIF([2]Recalc!A:A,D73,[2]Recalc!BX:BX),0)</f>
        <v>0</v>
      </c>
    </row>
    <row r="74" spans="1:9" x14ac:dyDescent="0.3">
      <c r="A74" s="5">
        <v>45949</v>
      </c>
      <c r="B74" s="4" t="s">
        <v>64</v>
      </c>
      <c r="C74" s="4"/>
      <c r="D74" s="4" t="s">
        <v>263</v>
      </c>
      <c r="E74" s="5">
        <v>45958</v>
      </c>
      <c r="F74" s="4" t="str">
        <f>IF(_xlfn.XLOOKUP(D74,[2]Recalc!A:A,[2]Recalc!A:A,"")=D74,"Approved","Denied")</f>
        <v>Denied</v>
      </c>
      <c r="G74" s="4" t="str">
        <f>IF(F74="Denied",_xlfn.XLOOKUP(D74,'[2]Denied Barcodes'!$A$2:$A$1048576,'[2]Denied Barcodes'!$B$2:$B$1048576,""),"")</f>
        <v>Denied, dimensions line up with vpod</v>
      </c>
      <c r="H74" s="4" t="str">
        <f t="shared" si="1"/>
        <v/>
      </c>
      <c r="I74" s="6">
        <f>IF(F74="Approved",SUMIF([2]Recalc!A:A,D74,[2]Recalc!BX:BX),0)</f>
        <v>0</v>
      </c>
    </row>
    <row r="75" spans="1:9" x14ac:dyDescent="0.3">
      <c r="A75" s="5">
        <v>45949</v>
      </c>
      <c r="B75" s="4" t="s">
        <v>64</v>
      </c>
      <c r="C75" s="4"/>
      <c r="D75" s="4" t="s">
        <v>264</v>
      </c>
      <c r="E75" s="5">
        <v>45958</v>
      </c>
      <c r="F75" s="4" t="str">
        <f>IF(_xlfn.XLOOKUP(D75,[2]Recalc!A:A,[2]Recalc!A:A,"")=D75,"Approved","Denied")</f>
        <v>Denied</v>
      </c>
      <c r="G75" s="4" t="str">
        <f>IF(F75="Denied",_xlfn.XLOOKUP(D75,'[2]Denied Barcodes'!$A$2:$A$1048576,'[2]Denied Barcodes'!$B$2:$B$1048576,""),"")</f>
        <v>Denied, dimensions line up with vpod</v>
      </c>
      <c r="H75" s="4" t="str">
        <f t="shared" si="1"/>
        <v/>
      </c>
      <c r="I75" s="6">
        <f>IF(F75="Approved",SUMIF([2]Recalc!A:A,D75,[2]Recalc!BX:BX),0)</f>
        <v>0</v>
      </c>
    </row>
    <row r="76" spans="1:9" x14ac:dyDescent="0.3">
      <c r="A76" s="5">
        <v>45949</v>
      </c>
      <c r="B76" s="4" t="s">
        <v>64</v>
      </c>
      <c r="C76" s="4"/>
      <c r="D76" s="4" t="s">
        <v>265</v>
      </c>
      <c r="E76" s="5">
        <v>45958</v>
      </c>
      <c r="F76" s="4" t="str">
        <f>IF(_xlfn.XLOOKUP(D76,[2]Recalc!A:A,[2]Recalc!A:A,"")=D76,"Approved","Denied")</f>
        <v>Denied</v>
      </c>
      <c r="G76" s="4" t="str">
        <f>IF(F76="Denied",_xlfn.XLOOKUP(D76,'[2]Denied Barcodes'!$A$2:$A$1048576,'[2]Denied Barcodes'!$B$2:$B$1048576,""),"")</f>
        <v>Denied, dimensions line up with vpod and meet girth definition for AH</v>
      </c>
      <c r="H76" s="4" t="str">
        <f t="shared" si="1"/>
        <v/>
      </c>
      <c r="I76" s="6">
        <f>IF(F76="Approved",SUMIF([2]Recalc!A:A,D76,[2]Recalc!BX:BX),0)</f>
        <v>0</v>
      </c>
    </row>
    <row r="77" spans="1:9" x14ac:dyDescent="0.3">
      <c r="A77" s="5">
        <v>45949</v>
      </c>
      <c r="B77" s="4" t="s">
        <v>64</v>
      </c>
      <c r="C77" s="4"/>
      <c r="D77" s="4" t="s">
        <v>266</v>
      </c>
      <c r="E77" s="5">
        <v>45958</v>
      </c>
      <c r="F77" s="4" t="str">
        <f>IF(_xlfn.XLOOKUP(D77,[2]Recalc!A:A,[2]Recalc!A:A,"")=D77,"Approved","Denied")</f>
        <v>Denied</v>
      </c>
      <c r="G77" s="4" t="str">
        <f>IF(F77="Denied",_xlfn.XLOOKUP(D77,'[2]Denied Barcodes'!$A$2:$A$1048576,'[2]Denied Barcodes'!$B$2:$B$1048576,""),"")</f>
        <v>Denied, dimensions line up with vpod and meet girth definition for AH</v>
      </c>
      <c r="H77" s="4" t="str">
        <f t="shared" si="1"/>
        <v/>
      </c>
      <c r="I77" s="6">
        <f>IF(F77="Approved",SUMIF([2]Recalc!A:A,D77,[2]Recalc!BX:BX),0)</f>
        <v>0</v>
      </c>
    </row>
    <row r="78" spans="1:9" x14ac:dyDescent="0.3">
      <c r="A78" s="5">
        <v>45949</v>
      </c>
      <c r="B78" s="4" t="s">
        <v>64</v>
      </c>
      <c r="C78" s="4"/>
      <c r="D78" s="4" t="s">
        <v>267</v>
      </c>
      <c r="E78" s="5">
        <v>45958</v>
      </c>
      <c r="F78" s="4" t="str">
        <f>IF(_xlfn.XLOOKUP(D78,[2]Recalc!A:A,[2]Recalc!A:A,"")=D78,"Approved","Denied")</f>
        <v>Denied</v>
      </c>
      <c r="G78" s="4" t="str">
        <f>IF(F78="Denied",_xlfn.XLOOKUP(D78,'[2]Denied Barcodes'!$A$2:$A$1048576,'[2]Denied Barcodes'!$B$2:$B$1048576,""),"")</f>
        <v>Denied, dimensions line up with vpod</v>
      </c>
      <c r="H78" s="4" t="str">
        <f t="shared" si="1"/>
        <v/>
      </c>
      <c r="I78" s="6">
        <f>IF(F78="Approved",SUMIF([2]Recalc!A:A,D78,[2]Recalc!BX:BX),0)</f>
        <v>0</v>
      </c>
    </row>
    <row r="79" spans="1:9" x14ac:dyDescent="0.3">
      <c r="A79" s="5">
        <v>45949</v>
      </c>
      <c r="B79" s="4" t="s">
        <v>64</v>
      </c>
      <c r="C79" s="4"/>
      <c r="D79" s="4" t="s">
        <v>268</v>
      </c>
      <c r="E79" s="5">
        <v>45958</v>
      </c>
      <c r="F79" s="4" t="str">
        <f>IF(_xlfn.XLOOKUP(D79,[2]Recalc!A:A,[2]Recalc!A:A,"")=D79,"Approved","Denied")</f>
        <v>Denied</v>
      </c>
      <c r="G79" s="4" t="str">
        <f>IF(F79="Denied",_xlfn.XLOOKUP(D79,'[2]Denied Barcodes'!$A$2:$A$1048576,'[2]Denied Barcodes'!$B$2:$B$1048576,""),"")</f>
        <v>Denied, dimensions line up with vpod</v>
      </c>
      <c r="H79" s="4" t="str">
        <f t="shared" si="1"/>
        <v/>
      </c>
      <c r="I79" s="6">
        <f>IF(F79="Approved",SUMIF([2]Recalc!A:A,D79,[2]Recalc!BX:BX),0)</f>
        <v>0</v>
      </c>
    </row>
    <row r="80" spans="1:9" x14ac:dyDescent="0.3">
      <c r="A80" s="5">
        <v>45949</v>
      </c>
      <c r="B80" s="4" t="s">
        <v>64</v>
      </c>
      <c r="C80" s="4"/>
      <c r="D80" s="4" t="s">
        <v>269</v>
      </c>
      <c r="E80" s="5">
        <v>45958</v>
      </c>
      <c r="F80" s="4" t="str">
        <f>IF(_xlfn.XLOOKUP(D80,[2]Recalc!A:A,[2]Recalc!A:A,"")=D80,"Approved","Denied")</f>
        <v>Denied</v>
      </c>
      <c r="G80" s="4" t="str">
        <f>IF(F80="Denied",_xlfn.XLOOKUP(D80,'[2]Denied Barcodes'!$A$2:$A$1048576,'[2]Denied Barcodes'!$B$2:$B$1048576,""),"")</f>
        <v>Denied, dimensions line up with vpod</v>
      </c>
      <c r="H80" s="4" t="str">
        <f t="shared" si="1"/>
        <v/>
      </c>
      <c r="I80" s="6">
        <f>IF(F80="Approved",SUMIF([2]Recalc!A:A,D80,[2]Recalc!BX:BX),0)</f>
        <v>0</v>
      </c>
    </row>
    <row r="81" spans="1:9" x14ac:dyDescent="0.3">
      <c r="A81" s="5">
        <v>45949</v>
      </c>
      <c r="B81" s="4" t="s">
        <v>64</v>
      </c>
      <c r="C81" s="4"/>
      <c r="D81" s="4" t="s">
        <v>270</v>
      </c>
      <c r="E81" s="5">
        <v>45958</v>
      </c>
      <c r="F81" s="4" t="str">
        <f>IF(_xlfn.XLOOKUP(D81,[2]Recalc!A:A,[2]Recalc!A:A,"")=D81,"Approved","Denied")</f>
        <v>Denied</v>
      </c>
      <c r="G81" s="4" t="str">
        <f>IF(F81="Denied",_xlfn.XLOOKUP(D81,'[2]Denied Barcodes'!$A$2:$A$1048576,'[2]Denied Barcodes'!$B$2:$B$1048576,""),"")</f>
        <v>Denied, dimensions line up with vpod</v>
      </c>
      <c r="H81" s="4" t="str">
        <f t="shared" si="1"/>
        <v/>
      </c>
      <c r="I81" s="6">
        <f>IF(F81="Approved",SUMIF([2]Recalc!A:A,D81,[2]Recalc!BX:BX),0)</f>
        <v>0</v>
      </c>
    </row>
    <row r="82" spans="1:9" x14ac:dyDescent="0.3">
      <c r="A82" s="5">
        <v>45949</v>
      </c>
      <c r="B82" s="4" t="s">
        <v>64</v>
      </c>
      <c r="C82" s="4"/>
      <c r="D82" s="4" t="s">
        <v>271</v>
      </c>
      <c r="E82" s="5">
        <v>45958</v>
      </c>
      <c r="F82" s="4" t="str">
        <f>IF(_xlfn.XLOOKUP(D82,[2]Recalc!A:A,[2]Recalc!A:A,"")=D82,"Approved","Denied")</f>
        <v>Denied</v>
      </c>
      <c r="G82" s="4" t="str">
        <f>IF(F82="Denied",_xlfn.XLOOKUP(D82,'[2]Denied Barcodes'!$A$2:$A$1048576,'[2]Denied Barcodes'!$B$2:$B$1048576,""),"")</f>
        <v>Denied, dimensions line up with vpod and meet girth definition for AH</v>
      </c>
      <c r="H82" s="4" t="str">
        <f t="shared" si="1"/>
        <v/>
      </c>
      <c r="I82" s="6">
        <f>IF(F82="Approved",SUMIF([2]Recalc!A:A,D82,[2]Recalc!BX:BX),0)</f>
        <v>0</v>
      </c>
    </row>
    <row r="83" spans="1:9" x14ac:dyDescent="0.3">
      <c r="A83" s="5">
        <v>45949</v>
      </c>
      <c r="B83" s="4" t="s">
        <v>64</v>
      </c>
      <c r="C83" s="4"/>
      <c r="D83" s="4" t="s">
        <v>272</v>
      </c>
      <c r="E83" s="5">
        <v>45958</v>
      </c>
      <c r="F83" s="4" t="str">
        <f>IF(_xlfn.XLOOKUP(D83,[2]Recalc!A:A,[2]Recalc!A:A,"")=D83,"Approved","Denied")</f>
        <v>Denied</v>
      </c>
      <c r="G83" s="4" t="str">
        <f>IF(F83="Denied",_xlfn.XLOOKUP(D83,'[2]Denied Barcodes'!$A$2:$A$1048576,'[2]Denied Barcodes'!$B$2:$B$1048576,""),"")</f>
        <v>Denied, dimensions line up with vpod and meet girth definition for AH</v>
      </c>
      <c r="H83" s="4" t="str">
        <f t="shared" si="1"/>
        <v/>
      </c>
      <c r="I83" s="6">
        <f>IF(F83="Approved",SUMIF([2]Recalc!A:A,D83,[2]Recalc!BX:BX),0)</f>
        <v>0</v>
      </c>
    </row>
    <row r="84" spans="1:9" x14ac:dyDescent="0.3">
      <c r="A84" s="5">
        <v>45949</v>
      </c>
      <c r="B84" s="4" t="s">
        <v>64</v>
      </c>
      <c r="C84" s="4"/>
      <c r="D84" s="4" t="s">
        <v>273</v>
      </c>
      <c r="E84" s="5">
        <v>45958</v>
      </c>
      <c r="F84" s="4" t="str">
        <f>IF(_xlfn.XLOOKUP(D84,[2]Recalc!A:A,[2]Recalc!A:A,"")=D84,"Approved","Denied")</f>
        <v>Denied</v>
      </c>
      <c r="G84" s="4" t="str">
        <f>IF(F84="Denied",_xlfn.XLOOKUP(D84,'[2]Denied Barcodes'!$A$2:$A$1048576,'[2]Denied Barcodes'!$B$2:$B$1048576,""),"")</f>
        <v>Denied, customer dimensions meet girth definition for AH</v>
      </c>
      <c r="H84" s="4" t="str">
        <f t="shared" si="1"/>
        <v/>
      </c>
      <c r="I84" s="6">
        <f>IF(F84="Approved",SUMIF([2]Recalc!A:A,D84,[2]Recalc!BX:BX),0)</f>
        <v>0</v>
      </c>
    </row>
    <row r="85" spans="1:9" x14ac:dyDescent="0.3">
      <c r="A85" s="5">
        <v>45949</v>
      </c>
      <c r="B85" s="4" t="s">
        <v>64</v>
      </c>
      <c r="C85" s="4"/>
      <c r="D85" s="4" t="s">
        <v>274</v>
      </c>
      <c r="E85" s="5">
        <v>45958</v>
      </c>
      <c r="F85" s="4" t="str">
        <f>IF(_xlfn.XLOOKUP(D85,[2]Recalc!A:A,[2]Recalc!A:A,"")=D85,"Approved","Denied")</f>
        <v>Denied</v>
      </c>
      <c r="G85" s="4" t="str">
        <f>IF(F85="Denied",_xlfn.XLOOKUP(D85,'[2]Denied Barcodes'!$A$2:$A$1048576,'[2]Denied Barcodes'!$B$2:$B$1048576,""),"")</f>
        <v>Denied, customer dimensions meet girth definition for AH</v>
      </c>
      <c r="H85" s="4" t="str">
        <f t="shared" si="1"/>
        <v/>
      </c>
      <c r="I85" s="6">
        <f>IF(F85="Approved",SUMIF([2]Recalc!A:A,D85,[2]Recalc!BX:BX),0)</f>
        <v>0</v>
      </c>
    </row>
    <row r="86" spans="1:9" x14ac:dyDescent="0.3">
      <c r="A86" s="5">
        <v>45949</v>
      </c>
      <c r="B86" s="4" t="s">
        <v>64</v>
      </c>
      <c r="C86" s="4"/>
      <c r="D86" s="4" t="s">
        <v>275</v>
      </c>
      <c r="E86" s="5">
        <v>45958</v>
      </c>
      <c r="F86" s="4" t="str">
        <f>IF(_xlfn.XLOOKUP(D86,[2]Recalc!A:A,[2]Recalc!A:A,"")=D86,"Approved","Denied")</f>
        <v>Denied</v>
      </c>
      <c r="G86" s="4" t="str">
        <f>IF(F86="Denied",_xlfn.XLOOKUP(D86,'[2]Denied Barcodes'!$A$2:$A$1048576,'[2]Denied Barcodes'!$B$2:$B$1048576,""),"")</f>
        <v>Denied, dimensions line up with vpod and meet girth definition for AH</v>
      </c>
      <c r="H86" s="4" t="str">
        <f t="shared" si="1"/>
        <v/>
      </c>
      <c r="I86" s="6">
        <f>IF(F86="Approved",SUMIF([2]Recalc!A:A,D86,[2]Recalc!BX:BX),0)</f>
        <v>0</v>
      </c>
    </row>
    <row r="87" spans="1:9" x14ac:dyDescent="0.3">
      <c r="A87" s="5">
        <v>45949</v>
      </c>
      <c r="B87" s="4" t="s">
        <v>64</v>
      </c>
      <c r="C87" s="4"/>
      <c r="D87" s="4" t="s">
        <v>276</v>
      </c>
      <c r="E87" s="5">
        <v>45958</v>
      </c>
      <c r="F87" s="4" t="str">
        <f>IF(_xlfn.XLOOKUP(D87,[2]Recalc!A:A,[2]Recalc!A:A,"")=D87,"Approved","Denied")</f>
        <v>Denied</v>
      </c>
      <c r="G87" s="4" t="str">
        <f>IF(F87="Denied",_xlfn.XLOOKUP(D87,'[2]Denied Barcodes'!$A$2:$A$1048576,'[2]Denied Barcodes'!$B$2:$B$1048576,""),"")</f>
        <v>Denied, dimensions line up with vpod and meet girth definition for AH</v>
      </c>
      <c r="H87" s="4" t="str">
        <f t="shared" si="1"/>
        <v/>
      </c>
      <c r="I87" s="6">
        <f>IF(F87="Approved",SUMIF([2]Recalc!A:A,D87,[2]Recalc!BX:BX),0)</f>
        <v>0</v>
      </c>
    </row>
    <row r="88" spans="1:9" x14ac:dyDescent="0.3">
      <c r="A88" s="5">
        <v>45949</v>
      </c>
      <c r="B88" s="4" t="s">
        <v>64</v>
      </c>
      <c r="C88" s="4"/>
      <c r="D88" s="4" t="s">
        <v>277</v>
      </c>
      <c r="E88" s="5">
        <v>45958</v>
      </c>
      <c r="F88" s="4" t="str">
        <f>IF(_xlfn.XLOOKUP(D88,[2]Recalc!A:A,[2]Recalc!A:A,"")=D88,"Approved","Denied")</f>
        <v>Denied</v>
      </c>
      <c r="G88" s="4" t="str">
        <f>IF(F88="Denied",_xlfn.XLOOKUP(D88,'[2]Denied Barcodes'!$A$2:$A$1048576,'[2]Denied Barcodes'!$B$2:$B$1048576,""),"")</f>
        <v>Denied, dimensions line up with vpod</v>
      </c>
      <c r="H88" s="4" t="str">
        <f t="shared" si="1"/>
        <v/>
      </c>
      <c r="I88" s="6">
        <f>IF(F88="Approved",SUMIF([2]Recalc!A:A,D88,[2]Recalc!BX:BX),0)</f>
        <v>0</v>
      </c>
    </row>
    <row r="89" spans="1:9" x14ac:dyDescent="0.3">
      <c r="A89" s="5">
        <v>45949</v>
      </c>
      <c r="B89" s="4" t="s">
        <v>64</v>
      </c>
      <c r="C89" s="4"/>
      <c r="D89" s="4" t="s">
        <v>278</v>
      </c>
      <c r="E89" s="5">
        <v>45958</v>
      </c>
      <c r="F89" s="4" t="str">
        <f>IF(_xlfn.XLOOKUP(D89,[2]Recalc!A:A,[2]Recalc!A:A,"")=D89,"Approved","Denied")</f>
        <v>Denied</v>
      </c>
      <c r="G89" s="4" t="str">
        <f>IF(F89="Denied",_xlfn.XLOOKUP(D89,'[2]Denied Barcodes'!$A$2:$A$1048576,'[2]Denied Barcodes'!$B$2:$B$1048576,""),"")</f>
        <v>Denied, dimensions line up with vpod</v>
      </c>
      <c r="H89" s="4" t="str">
        <f t="shared" si="1"/>
        <v/>
      </c>
      <c r="I89" s="6">
        <f>IF(F89="Approved",SUMIF([2]Recalc!A:A,D89,[2]Recalc!BX:BX),0)</f>
        <v>0</v>
      </c>
    </row>
    <row r="90" spans="1:9" x14ac:dyDescent="0.3">
      <c r="A90" s="5">
        <v>45949</v>
      </c>
      <c r="B90" s="4" t="s">
        <v>64</v>
      </c>
      <c r="C90" s="4"/>
      <c r="D90" s="4" t="s">
        <v>279</v>
      </c>
      <c r="E90" s="5">
        <v>45958</v>
      </c>
      <c r="F90" s="4" t="str">
        <f>IF(_xlfn.XLOOKUP(D90,[2]Recalc!A:A,[2]Recalc!A:A,"")=D90,"Approved","Denied")</f>
        <v>Denied</v>
      </c>
      <c r="G90" s="4" t="str">
        <f>IF(F90="Denied",_xlfn.XLOOKUP(D90,'[2]Denied Barcodes'!$A$2:$A$1048576,'[2]Denied Barcodes'!$B$2:$B$1048576,""),"")</f>
        <v>Denied, dimensions line up with vpod</v>
      </c>
      <c r="H90" s="4" t="str">
        <f t="shared" si="1"/>
        <v/>
      </c>
      <c r="I90" s="6">
        <f>IF(F90="Approved",SUMIF([2]Recalc!A:A,D90,[2]Recalc!BX:BX),0)</f>
        <v>0</v>
      </c>
    </row>
    <row r="91" spans="1:9" x14ac:dyDescent="0.3">
      <c r="A91" s="5">
        <v>45949</v>
      </c>
      <c r="B91" s="4" t="s">
        <v>64</v>
      </c>
      <c r="C91" s="4"/>
      <c r="D91" s="4" t="s">
        <v>280</v>
      </c>
      <c r="E91" s="5">
        <v>45958</v>
      </c>
      <c r="F91" s="4" t="str">
        <f>IF(_xlfn.XLOOKUP(D91,[2]Recalc!A:A,[2]Recalc!A:A,"")=D91,"Approved","Denied")</f>
        <v>Denied</v>
      </c>
      <c r="G91" s="4" t="str">
        <f>IF(F91="Denied",_xlfn.XLOOKUP(D91,'[2]Denied Barcodes'!$A$2:$A$1048576,'[2]Denied Barcodes'!$B$2:$B$1048576,""),"")</f>
        <v>Denied, dimensions line up with vpod</v>
      </c>
      <c r="H91" s="4" t="str">
        <f t="shared" si="1"/>
        <v/>
      </c>
      <c r="I91" s="6">
        <f>IF(F91="Approved",SUMIF([2]Recalc!A:A,D91,[2]Recalc!BX:BX),0)</f>
        <v>0</v>
      </c>
    </row>
    <row r="92" spans="1:9" x14ac:dyDescent="0.3">
      <c r="A92" s="5">
        <v>45949</v>
      </c>
      <c r="B92" s="4" t="s">
        <v>64</v>
      </c>
      <c r="C92" s="4"/>
      <c r="D92" s="4" t="s">
        <v>281</v>
      </c>
      <c r="E92" s="5">
        <v>45958</v>
      </c>
      <c r="F92" s="4" t="str">
        <f>IF(_xlfn.XLOOKUP(D92,[2]Recalc!A:A,[2]Recalc!A:A,"")=D92,"Approved","Denied")</f>
        <v>Denied</v>
      </c>
      <c r="G92" s="4" t="str">
        <f>IF(F92="Denied",_xlfn.XLOOKUP(D92,'[2]Denied Barcodes'!$A$2:$A$1048576,'[2]Denied Barcodes'!$B$2:$B$1048576,""),"")</f>
        <v>Denied, dimensions line up with vpod</v>
      </c>
      <c r="H92" s="4" t="str">
        <f t="shared" si="1"/>
        <v/>
      </c>
      <c r="I92" s="6">
        <f>IF(F92="Approved",SUMIF([2]Recalc!A:A,D92,[2]Recalc!BX:BX),0)</f>
        <v>0</v>
      </c>
    </row>
    <row r="93" spans="1:9" x14ac:dyDescent="0.3">
      <c r="A93" s="5">
        <v>45949</v>
      </c>
      <c r="B93" s="4" t="s">
        <v>64</v>
      </c>
      <c r="C93" s="4"/>
      <c r="D93" s="4" t="s">
        <v>282</v>
      </c>
      <c r="E93" s="5">
        <v>45958</v>
      </c>
      <c r="F93" s="4" t="str">
        <f>IF(_xlfn.XLOOKUP(D93,[2]Recalc!A:A,[2]Recalc!A:A,"")=D93,"Approved","Denied")</f>
        <v>Denied</v>
      </c>
      <c r="G93" s="4" t="str">
        <f>IF(F93="Denied",_xlfn.XLOOKUP(D93,'[2]Denied Barcodes'!$A$2:$A$1048576,'[2]Denied Barcodes'!$B$2:$B$1048576,""),"")</f>
        <v>Denied, dimensions line up with vpod</v>
      </c>
      <c r="H93" s="4" t="str">
        <f t="shared" si="1"/>
        <v/>
      </c>
      <c r="I93" s="6">
        <f>IF(F93="Approved",SUMIF([2]Recalc!A:A,D93,[2]Recalc!BX:BX),0)</f>
        <v>0</v>
      </c>
    </row>
    <row r="94" spans="1:9" x14ac:dyDescent="0.3">
      <c r="A94" s="5">
        <v>45949</v>
      </c>
      <c r="B94" s="4" t="s">
        <v>64</v>
      </c>
      <c r="C94" s="4"/>
      <c r="D94" s="4" t="s">
        <v>283</v>
      </c>
      <c r="E94" s="5">
        <v>45958</v>
      </c>
      <c r="F94" s="4" t="str">
        <f>IF(_xlfn.XLOOKUP(D94,[2]Recalc!A:A,[2]Recalc!A:A,"")=D94,"Approved","Denied")</f>
        <v>Denied</v>
      </c>
      <c r="G94" s="4" t="str">
        <f>IF(F94="Denied",_xlfn.XLOOKUP(D94,'[2]Denied Barcodes'!$A$2:$A$1048576,'[2]Denied Barcodes'!$B$2:$B$1048576,""),"")</f>
        <v>Denied, dimensions line up with vpod</v>
      </c>
      <c r="H94" s="4" t="str">
        <f t="shared" si="1"/>
        <v/>
      </c>
      <c r="I94" s="6">
        <f>IF(F94="Approved",SUMIF([2]Recalc!A:A,D94,[2]Recalc!BX:BX),0)</f>
        <v>0</v>
      </c>
    </row>
    <row r="95" spans="1:9" x14ac:dyDescent="0.3">
      <c r="A95" s="5">
        <v>45949</v>
      </c>
      <c r="B95" s="4" t="s">
        <v>64</v>
      </c>
      <c r="C95" s="4"/>
      <c r="D95" s="4" t="s">
        <v>284</v>
      </c>
      <c r="E95" s="5">
        <v>45958</v>
      </c>
      <c r="F95" s="4" t="str">
        <f>IF(_xlfn.XLOOKUP(D95,[2]Recalc!A:A,[2]Recalc!A:A,"")=D95,"Approved","Denied")</f>
        <v>Denied</v>
      </c>
      <c r="G95" s="4" t="str">
        <f>IF(F95="Denied",_xlfn.XLOOKUP(D95,'[2]Denied Barcodes'!$A$2:$A$1048576,'[2]Denied Barcodes'!$B$2:$B$1048576,""),"")</f>
        <v>Denied, dimensions line up with vpod</v>
      </c>
      <c r="H95" s="4" t="str">
        <f t="shared" si="1"/>
        <v/>
      </c>
      <c r="I95" s="6">
        <f>IF(F95="Approved",SUMIF([2]Recalc!A:A,D95,[2]Recalc!BX:BX),0)</f>
        <v>0</v>
      </c>
    </row>
    <row r="96" spans="1:9" x14ac:dyDescent="0.3">
      <c r="A96" s="5">
        <v>45949</v>
      </c>
      <c r="B96" s="4" t="s">
        <v>64</v>
      </c>
      <c r="C96" s="4"/>
      <c r="D96" s="4" t="s">
        <v>285</v>
      </c>
      <c r="E96" s="5">
        <v>45958</v>
      </c>
      <c r="F96" s="4" t="str">
        <f>IF(_xlfn.XLOOKUP(D96,[2]Recalc!A:A,[2]Recalc!A:A,"")=D96,"Approved","Denied")</f>
        <v>Denied</v>
      </c>
      <c r="G96" s="4" t="str">
        <f>IF(F96="Denied",_xlfn.XLOOKUP(D96,'[2]Denied Barcodes'!$A$2:$A$1048576,'[2]Denied Barcodes'!$B$2:$B$1048576,""),"")</f>
        <v>Denied, dimensions line up with vpod</v>
      </c>
      <c r="H96" s="4" t="str">
        <f t="shared" si="1"/>
        <v/>
      </c>
      <c r="I96" s="6">
        <f>IF(F96="Approved",SUMIF([2]Recalc!A:A,D96,[2]Recalc!BX:BX),0)</f>
        <v>0</v>
      </c>
    </row>
    <row r="97" spans="1:9" x14ac:dyDescent="0.3">
      <c r="A97" s="5">
        <v>45949</v>
      </c>
      <c r="B97" s="4" t="s">
        <v>64</v>
      </c>
      <c r="C97" s="4"/>
      <c r="D97" s="4" t="s">
        <v>286</v>
      </c>
      <c r="E97" s="5">
        <v>45958</v>
      </c>
      <c r="F97" s="4" t="str">
        <f>IF(_xlfn.XLOOKUP(D97,[2]Recalc!A:A,[2]Recalc!A:A,"")=D97,"Approved","Denied")</f>
        <v>Denied</v>
      </c>
      <c r="G97" s="4" t="str">
        <f>IF(F97="Denied",_xlfn.XLOOKUP(D97,'[2]Denied Barcodes'!$A$2:$A$1048576,'[2]Denied Barcodes'!$B$2:$B$1048576,""),"")</f>
        <v>Denied, dimensions line up with vpod</v>
      </c>
      <c r="H97" s="4" t="str">
        <f t="shared" si="1"/>
        <v/>
      </c>
      <c r="I97" s="6">
        <f>IF(F97="Approved",SUMIF([2]Recalc!A:A,D97,[2]Recalc!BX:BX),0)</f>
        <v>0</v>
      </c>
    </row>
    <row r="98" spans="1:9" x14ac:dyDescent="0.3">
      <c r="A98" s="5">
        <v>45949</v>
      </c>
      <c r="B98" s="4" t="s">
        <v>64</v>
      </c>
      <c r="C98" s="4"/>
      <c r="D98" s="4" t="s">
        <v>287</v>
      </c>
      <c r="E98" s="5">
        <v>45958</v>
      </c>
      <c r="F98" s="4" t="str">
        <f>IF(_xlfn.XLOOKUP(D98,[2]Recalc!A:A,[2]Recalc!A:A,"")=D98,"Approved","Denied")</f>
        <v>Denied</v>
      </c>
      <c r="G98" s="4" t="str">
        <f>IF(F98="Denied",_xlfn.XLOOKUP(D98,'[2]Denied Barcodes'!$A$2:$A$1048576,'[2]Denied Barcodes'!$B$2:$B$1048576,""),"")</f>
        <v>Denied, dimensions line up with vpod</v>
      </c>
      <c r="H98" s="4" t="str">
        <f t="shared" si="1"/>
        <v/>
      </c>
      <c r="I98" s="6">
        <f>IF(F98="Approved",SUMIF([2]Recalc!A:A,D98,[2]Recalc!BX:BX),0)</f>
        <v>0</v>
      </c>
    </row>
    <row r="99" spans="1:9" x14ac:dyDescent="0.3">
      <c r="A99" s="5">
        <v>45949</v>
      </c>
      <c r="B99" s="4" t="s">
        <v>64</v>
      </c>
      <c r="C99" s="4"/>
      <c r="D99" s="4" t="s">
        <v>288</v>
      </c>
      <c r="E99" s="5">
        <v>45958</v>
      </c>
      <c r="F99" s="4" t="str">
        <f>IF(_xlfn.XLOOKUP(D99,[2]Recalc!A:A,[2]Recalc!A:A,"")=D99,"Approved","Denied")</f>
        <v>Denied</v>
      </c>
      <c r="G99" s="4" t="str">
        <f>IF(F99="Denied",_xlfn.XLOOKUP(D99,'[2]Denied Barcodes'!$A$2:$A$1048576,'[2]Denied Barcodes'!$B$2:$B$1048576,""),"")</f>
        <v>Denied, dimensions line up with vpod</v>
      </c>
      <c r="H99" s="4" t="str">
        <f t="shared" si="1"/>
        <v/>
      </c>
      <c r="I99" s="6">
        <f>IF(F99="Approved",SUMIF([2]Recalc!A:A,D99,[2]Recalc!BX:BX),0)</f>
        <v>0</v>
      </c>
    </row>
    <row r="100" spans="1:9" x14ac:dyDescent="0.3">
      <c r="A100" s="5">
        <v>45949</v>
      </c>
      <c r="B100" s="4" t="s">
        <v>64</v>
      </c>
      <c r="C100" s="4"/>
      <c r="D100" s="4" t="s">
        <v>289</v>
      </c>
      <c r="E100" s="5">
        <v>45958</v>
      </c>
      <c r="F100" s="4" t="str">
        <f>IF(_xlfn.XLOOKUP(D100,[2]Recalc!A:A,[2]Recalc!A:A,"")=D100,"Approved","Denied")</f>
        <v>Denied</v>
      </c>
      <c r="G100" s="4" t="str">
        <f>IF(F100="Denied",_xlfn.XLOOKUP(D100,'[2]Denied Barcodes'!$A$2:$A$1048576,'[2]Denied Barcodes'!$B$2:$B$1048576,""),"")</f>
        <v>Denied, dimensions line up with vpod</v>
      </c>
      <c r="H100" s="4" t="str">
        <f t="shared" si="1"/>
        <v/>
      </c>
      <c r="I100" s="6">
        <f>IF(F100="Approved",SUMIF([2]Recalc!A:A,D100,[2]Recalc!BX:BX),0)</f>
        <v>0</v>
      </c>
    </row>
    <row r="101" spans="1:9" x14ac:dyDescent="0.3">
      <c r="A101" s="5">
        <v>45949</v>
      </c>
      <c r="B101" s="4" t="s">
        <v>64</v>
      </c>
      <c r="C101" s="4"/>
      <c r="D101" s="4" t="s">
        <v>290</v>
      </c>
      <c r="E101" s="5">
        <v>45958</v>
      </c>
      <c r="F101" s="4" t="str">
        <f>IF(_xlfn.XLOOKUP(D101,[2]Recalc!A:A,[2]Recalc!A:A,"")=D101,"Approved","Denied")</f>
        <v>Denied</v>
      </c>
      <c r="G101" s="4" t="str">
        <f>IF(F101="Denied",_xlfn.XLOOKUP(D101,'[2]Denied Barcodes'!$A$2:$A$1048576,'[2]Denied Barcodes'!$B$2:$B$1048576,""),"")</f>
        <v>Denied, dimensions line up with vpod</v>
      </c>
      <c r="H101" s="4" t="str">
        <f t="shared" si="1"/>
        <v/>
      </c>
      <c r="I101" s="6">
        <f>IF(F101="Approved",SUMIF([2]Recalc!A:A,D101,[2]Recalc!BX:BX),0)</f>
        <v>0</v>
      </c>
    </row>
    <row r="102" spans="1:9" x14ac:dyDescent="0.3">
      <c r="A102" s="5">
        <v>45949</v>
      </c>
      <c r="B102" s="4" t="s">
        <v>64</v>
      </c>
      <c r="C102" s="4"/>
      <c r="D102" s="4" t="s">
        <v>291</v>
      </c>
      <c r="E102" s="5">
        <v>45958</v>
      </c>
      <c r="F102" s="4" t="str">
        <f>IF(_xlfn.XLOOKUP(D102,[2]Recalc!A:A,[2]Recalc!A:A,"")=D102,"Approved","Denied")</f>
        <v>Denied</v>
      </c>
      <c r="G102" s="4" t="str">
        <f>IF(F102="Denied",_xlfn.XLOOKUP(D102,'[2]Denied Barcodes'!$A$2:$A$1048576,'[2]Denied Barcodes'!$B$2:$B$1048576,""),"")</f>
        <v>Denied, customer dimensions meet girth definition for AH</v>
      </c>
      <c r="H102" s="4" t="str">
        <f t="shared" si="1"/>
        <v/>
      </c>
      <c r="I102" s="6">
        <f>IF(F102="Approved",SUMIF([2]Recalc!A:A,D102,[2]Recalc!BX:BX),0)</f>
        <v>0</v>
      </c>
    </row>
    <row r="103" spans="1:9" x14ac:dyDescent="0.3">
      <c r="A103" s="5">
        <v>45949</v>
      </c>
      <c r="B103" s="4" t="s">
        <v>64</v>
      </c>
      <c r="C103" s="4"/>
      <c r="D103" s="4" t="s">
        <v>292</v>
      </c>
      <c r="E103" s="5">
        <v>45958</v>
      </c>
      <c r="F103" s="4" t="str">
        <f>IF(_xlfn.XLOOKUP(D103,[2]Recalc!A:A,[2]Recalc!A:A,"")=D103,"Approved","Denied")</f>
        <v>Denied</v>
      </c>
      <c r="G103" s="4" t="str">
        <f>IF(F103="Denied",_xlfn.XLOOKUP(D103,'[2]Denied Barcodes'!$A$2:$A$1048576,'[2]Denied Barcodes'!$B$2:$B$1048576,""),"")</f>
        <v>Denied, customer dimensions meet girth definition for AH</v>
      </c>
      <c r="H103" s="4" t="str">
        <f t="shared" si="1"/>
        <v/>
      </c>
      <c r="I103" s="6">
        <f>IF(F103="Approved",SUMIF([2]Recalc!A:A,D103,[2]Recalc!BX:BX),0)</f>
        <v>0</v>
      </c>
    </row>
    <row r="104" spans="1:9" x14ac:dyDescent="0.3">
      <c r="A104" s="5">
        <v>45949</v>
      </c>
      <c r="B104" s="4" t="s">
        <v>64</v>
      </c>
      <c r="C104" s="4"/>
      <c r="D104" s="4" t="s">
        <v>293</v>
      </c>
      <c r="E104" s="5">
        <v>45958</v>
      </c>
      <c r="F104" s="4" t="str">
        <f>IF(_xlfn.XLOOKUP(D104,[2]Recalc!A:A,[2]Recalc!A:A,"")=D104,"Approved","Denied")</f>
        <v>Denied</v>
      </c>
      <c r="G104" s="4" t="str">
        <f>IF(F104="Denied",_xlfn.XLOOKUP(D104,'[2]Denied Barcodes'!$A$2:$A$1048576,'[2]Denied Barcodes'!$B$2:$B$1048576,""),"")</f>
        <v>Denied, customer dimensions meet girth definition for AH</v>
      </c>
      <c r="H104" s="4" t="str">
        <f t="shared" si="1"/>
        <v/>
      </c>
      <c r="I104" s="6">
        <f>IF(F104="Approved",SUMIF([2]Recalc!A:A,D104,[2]Recalc!BX:BX),0)</f>
        <v>0</v>
      </c>
    </row>
    <row r="105" spans="1:9" x14ac:dyDescent="0.3">
      <c r="A105" s="5">
        <v>45949</v>
      </c>
      <c r="B105" s="4" t="s">
        <v>64</v>
      </c>
      <c r="C105" s="4"/>
      <c r="D105" s="4" t="s">
        <v>294</v>
      </c>
      <c r="E105" s="5">
        <v>45958</v>
      </c>
      <c r="F105" s="4" t="str">
        <f>IF(_xlfn.XLOOKUP(D105,[2]Recalc!A:A,[2]Recalc!A:A,"")=D105,"Approved","Denied")</f>
        <v>Denied</v>
      </c>
      <c r="G105" s="4" t="str">
        <f>IF(F105="Denied",_xlfn.XLOOKUP(D105,'[2]Denied Barcodes'!$A$2:$A$1048576,'[2]Denied Barcodes'!$B$2:$B$1048576,""),"")</f>
        <v>Denied, dimensions line up with vpod and meet girth definition for AH</v>
      </c>
      <c r="H105" s="4" t="str">
        <f t="shared" si="1"/>
        <v/>
      </c>
      <c r="I105" s="6">
        <f>IF(F105="Approved",SUMIF([2]Recalc!A:A,D105,[2]Recalc!BX:BX),0)</f>
        <v>0</v>
      </c>
    </row>
    <row r="106" spans="1:9" x14ac:dyDescent="0.3">
      <c r="A106" s="5">
        <v>45949</v>
      </c>
      <c r="B106" s="4" t="s">
        <v>64</v>
      </c>
      <c r="C106" s="4"/>
      <c r="D106" s="4" t="s">
        <v>295</v>
      </c>
      <c r="E106" s="5">
        <v>45958</v>
      </c>
      <c r="F106" s="4" t="str">
        <f>IF(_xlfn.XLOOKUP(D106,[2]Recalc!A:A,[2]Recalc!A:A,"")=D106,"Approved","Denied")</f>
        <v>Denied</v>
      </c>
      <c r="G106" s="4" t="str">
        <f>IF(F106="Denied",_xlfn.XLOOKUP(D106,'[2]Denied Barcodes'!$A$2:$A$1048576,'[2]Denied Barcodes'!$B$2:$B$1048576,""),"")</f>
        <v>Denied, customer dimensions meet girth definition for AH</v>
      </c>
      <c r="H106" s="4" t="str">
        <f t="shared" si="1"/>
        <v/>
      </c>
      <c r="I106" s="6">
        <f>IF(F106="Approved",SUMIF([2]Recalc!A:A,D106,[2]Recalc!BX:BX),0)</f>
        <v>0</v>
      </c>
    </row>
    <row r="107" spans="1:9" x14ac:dyDescent="0.3">
      <c r="A107" s="5">
        <v>45949</v>
      </c>
      <c r="B107" s="4" t="s">
        <v>64</v>
      </c>
      <c r="C107" s="4"/>
      <c r="D107" s="4" t="s">
        <v>296</v>
      </c>
      <c r="E107" s="5">
        <v>45958</v>
      </c>
      <c r="F107" s="4" t="str">
        <f>IF(_xlfn.XLOOKUP(D107,[2]Recalc!A:A,[2]Recalc!A:A,"")=D107,"Approved","Denied")</f>
        <v>Denied</v>
      </c>
      <c r="G107" s="4" t="str">
        <f>IF(F107="Denied",_xlfn.XLOOKUP(D107,'[2]Denied Barcodes'!$A$2:$A$1048576,'[2]Denied Barcodes'!$B$2:$B$1048576,""),"")</f>
        <v>Denied, dimensions line up with vpod</v>
      </c>
      <c r="H107" s="4" t="str">
        <f t="shared" si="1"/>
        <v/>
      </c>
      <c r="I107" s="6">
        <f>IF(F107="Approved",SUMIF([2]Recalc!A:A,D107,[2]Recalc!BX:BX),0)</f>
        <v>0</v>
      </c>
    </row>
    <row r="108" spans="1:9" x14ac:dyDescent="0.3">
      <c r="A108" s="5">
        <v>45949</v>
      </c>
      <c r="B108" s="4" t="s">
        <v>64</v>
      </c>
      <c r="C108" s="4"/>
      <c r="D108" s="4" t="s">
        <v>297</v>
      </c>
      <c r="E108" s="5">
        <v>45958</v>
      </c>
      <c r="F108" s="4" t="str">
        <f>IF(_xlfn.XLOOKUP(D108,[2]Recalc!A:A,[2]Recalc!A:A,"")=D108,"Approved","Denied")</f>
        <v>Denied</v>
      </c>
      <c r="G108" s="4" t="str">
        <f>IF(F108="Denied",_xlfn.XLOOKUP(D108,'[2]Denied Barcodes'!$A$2:$A$1048576,'[2]Denied Barcodes'!$B$2:$B$1048576,""),"")</f>
        <v>Denied, dimensions line up with vpod</v>
      </c>
      <c r="H108" s="4" t="str">
        <f t="shared" si="1"/>
        <v/>
      </c>
      <c r="I108" s="6">
        <f>IF(F108="Approved",SUMIF([2]Recalc!A:A,D108,[2]Recalc!BX:BX),0)</f>
        <v>0</v>
      </c>
    </row>
    <row r="109" spans="1:9" x14ac:dyDescent="0.3">
      <c r="A109" s="5">
        <v>45949</v>
      </c>
      <c r="B109" s="4" t="s">
        <v>64</v>
      </c>
      <c r="C109" s="4"/>
      <c r="D109" s="4" t="s">
        <v>298</v>
      </c>
      <c r="E109" s="5">
        <v>45958</v>
      </c>
      <c r="F109" s="4" t="str">
        <f>IF(_xlfn.XLOOKUP(D109,[2]Recalc!A:A,[2]Recalc!A:A,"")=D109,"Approved","Denied")</f>
        <v>Denied</v>
      </c>
      <c r="G109" s="4" t="str">
        <f>IF(F109="Denied",_xlfn.XLOOKUP(D109,'[2]Denied Barcodes'!$A$2:$A$1048576,'[2]Denied Barcodes'!$B$2:$B$1048576,""),"")</f>
        <v>Denied, dimensions line up with vpod and meet girth definition for AH</v>
      </c>
      <c r="H109" s="4" t="str">
        <f t="shared" si="1"/>
        <v/>
      </c>
      <c r="I109" s="6">
        <f>IF(F109="Approved",SUMIF([2]Recalc!A:A,D109,[2]Recalc!BX:BX),0)</f>
        <v>0</v>
      </c>
    </row>
    <row r="110" spans="1:9" x14ac:dyDescent="0.3">
      <c r="A110" s="5">
        <v>45949</v>
      </c>
      <c r="B110" s="4" t="s">
        <v>64</v>
      </c>
      <c r="C110" s="4"/>
      <c r="D110" s="4" t="s">
        <v>299</v>
      </c>
      <c r="E110" s="5">
        <v>45958</v>
      </c>
      <c r="F110" s="4" t="str">
        <f>IF(_xlfn.XLOOKUP(D110,[2]Recalc!A:A,[2]Recalc!A:A,"")=D110,"Approved","Denied")</f>
        <v>Denied</v>
      </c>
      <c r="G110" s="4" t="str">
        <f>IF(F110="Denied",_xlfn.XLOOKUP(D110,'[2]Denied Barcodes'!$A$2:$A$1048576,'[2]Denied Barcodes'!$B$2:$B$1048576,""),"")</f>
        <v>Denied, dimensions line up with vpod</v>
      </c>
      <c r="H110" s="4" t="str">
        <f t="shared" si="1"/>
        <v/>
      </c>
      <c r="I110" s="6">
        <f>IF(F110="Approved",SUMIF([2]Recalc!A:A,D110,[2]Recalc!BX:BX),0)</f>
        <v>0</v>
      </c>
    </row>
    <row r="111" spans="1:9" x14ac:dyDescent="0.3">
      <c r="A111" s="5">
        <v>45949</v>
      </c>
      <c r="B111" s="4" t="s">
        <v>64</v>
      </c>
      <c r="C111" s="4"/>
      <c r="D111" s="4" t="s">
        <v>300</v>
      </c>
      <c r="E111" s="5">
        <v>45958</v>
      </c>
      <c r="F111" s="4" t="str">
        <f>IF(_xlfn.XLOOKUP(D111,[2]Recalc!A:A,[2]Recalc!A:A,"")=D111,"Approved","Denied")</f>
        <v>Denied</v>
      </c>
      <c r="G111" s="4" t="str">
        <f>IF(F111="Denied",_xlfn.XLOOKUP(D111,'[2]Denied Barcodes'!$A$2:$A$1048576,'[2]Denied Barcodes'!$B$2:$B$1048576,""),"")</f>
        <v>Denied, dimensions line up with vpod</v>
      </c>
      <c r="H111" s="4" t="str">
        <f t="shared" si="1"/>
        <v/>
      </c>
      <c r="I111" s="6">
        <f>IF(F111="Approved",SUMIF([2]Recalc!A:A,D111,[2]Recalc!BX:BX),0)</f>
        <v>0</v>
      </c>
    </row>
    <row r="112" spans="1:9" x14ac:dyDescent="0.3">
      <c r="A112" s="5">
        <v>45949</v>
      </c>
      <c r="B112" s="4" t="s">
        <v>64</v>
      </c>
      <c r="C112" s="4"/>
      <c r="D112" s="4" t="s">
        <v>301</v>
      </c>
      <c r="E112" s="5">
        <v>45958</v>
      </c>
      <c r="F112" s="4" t="str">
        <f>IF(_xlfn.XLOOKUP(D112,[2]Recalc!A:A,[2]Recalc!A:A,"")=D112,"Approved","Denied")</f>
        <v>Denied</v>
      </c>
      <c r="G112" s="4" t="str">
        <f>IF(F112="Denied",_xlfn.XLOOKUP(D112,'[2]Denied Barcodes'!$A$2:$A$1048576,'[2]Denied Barcodes'!$B$2:$B$1048576,""),"")</f>
        <v>Denied, dimensions line up with vpod</v>
      </c>
      <c r="H112" s="4" t="str">
        <f t="shared" si="1"/>
        <v/>
      </c>
      <c r="I112" s="6">
        <f>IF(F112="Approved",SUMIF([2]Recalc!A:A,D112,[2]Recalc!BX:BX),0)</f>
        <v>0</v>
      </c>
    </row>
    <row r="113" spans="1:9" x14ac:dyDescent="0.3">
      <c r="A113" s="5">
        <v>45949</v>
      </c>
      <c r="B113" s="4" t="s">
        <v>64</v>
      </c>
      <c r="C113" s="4"/>
      <c r="D113" s="4" t="s">
        <v>302</v>
      </c>
      <c r="E113" s="5">
        <v>45958</v>
      </c>
      <c r="F113" s="4" t="str">
        <f>IF(_xlfn.XLOOKUP(D113,[2]Recalc!A:A,[2]Recalc!A:A,"")=D113,"Approved","Denied")</f>
        <v>Denied</v>
      </c>
      <c r="G113" s="4" t="str">
        <f>IF(F113="Denied",_xlfn.XLOOKUP(D113,'[2]Denied Barcodes'!$A$2:$A$1048576,'[2]Denied Barcodes'!$B$2:$B$1048576,""),"")</f>
        <v>Denied, dimensions line up with vpod and meet girth definition for AH</v>
      </c>
      <c r="H113" s="4" t="str">
        <f t="shared" si="1"/>
        <v/>
      </c>
      <c r="I113" s="6">
        <f>IF(F113="Approved",SUMIF([2]Recalc!A:A,D113,[2]Recalc!BX:BX),0)</f>
        <v>0</v>
      </c>
    </row>
    <row r="114" spans="1:9" x14ac:dyDescent="0.3">
      <c r="A114" s="5">
        <v>45949</v>
      </c>
      <c r="B114" s="4" t="s">
        <v>64</v>
      </c>
      <c r="C114" s="4"/>
      <c r="D114" s="4" t="s">
        <v>303</v>
      </c>
      <c r="E114" s="5">
        <v>45958</v>
      </c>
      <c r="F114" s="4" t="str">
        <f>IF(_xlfn.XLOOKUP(D114,[2]Recalc!A:A,[2]Recalc!A:A,"")=D114,"Approved","Denied")</f>
        <v>Denied</v>
      </c>
      <c r="G114" s="4" t="str">
        <f>IF(F114="Denied",_xlfn.XLOOKUP(D114,'[2]Denied Barcodes'!$A$2:$A$1048576,'[2]Denied Barcodes'!$B$2:$B$1048576,""),"")</f>
        <v>Denied, dimensions line up with vpod</v>
      </c>
      <c r="H114" s="4" t="str">
        <f t="shared" si="1"/>
        <v/>
      </c>
      <c r="I114" s="6">
        <f>IF(F114="Approved",SUMIF([2]Recalc!A:A,D114,[2]Recalc!BX:BX),0)</f>
        <v>0</v>
      </c>
    </row>
    <row r="115" spans="1:9" x14ac:dyDescent="0.3">
      <c r="A115" s="5">
        <v>45949</v>
      </c>
      <c r="B115" s="4" t="s">
        <v>64</v>
      </c>
      <c r="C115" s="4"/>
      <c r="D115" s="4" t="s">
        <v>304</v>
      </c>
      <c r="E115" s="5">
        <v>45958</v>
      </c>
      <c r="F115" s="4" t="str">
        <f>IF(_xlfn.XLOOKUP(D115,[2]Recalc!A:A,[2]Recalc!A:A,"")=D115,"Approved","Denied")</f>
        <v>Denied</v>
      </c>
      <c r="G115" s="4" t="str">
        <f>IF(F115="Denied",_xlfn.XLOOKUP(D115,'[2]Denied Barcodes'!$A$2:$A$1048576,'[2]Denied Barcodes'!$B$2:$B$1048576,""),"")</f>
        <v>Denied, dimensions line up with vpod and meet girth definition for AH</v>
      </c>
      <c r="H115" s="4" t="str">
        <f t="shared" si="1"/>
        <v/>
      </c>
      <c r="I115" s="6">
        <f>IF(F115="Approved",SUMIF([2]Recalc!A:A,D115,[2]Recalc!BX:BX),0)</f>
        <v>0</v>
      </c>
    </row>
    <row r="116" spans="1:9" x14ac:dyDescent="0.3">
      <c r="A116" s="5">
        <v>45949</v>
      </c>
      <c r="B116" s="4" t="s">
        <v>64</v>
      </c>
      <c r="C116" s="4"/>
      <c r="D116" s="4" t="s">
        <v>305</v>
      </c>
      <c r="E116" s="5">
        <v>45958</v>
      </c>
      <c r="F116" s="4" t="str">
        <f>IF(_xlfn.XLOOKUP(D116,[2]Recalc!A:A,[2]Recalc!A:A,"")=D116,"Approved","Denied")</f>
        <v>Denied</v>
      </c>
      <c r="G116" s="4" t="str">
        <f>IF(F116="Denied",_xlfn.XLOOKUP(D116,'[2]Denied Barcodes'!$A$2:$A$1048576,'[2]Denied Barcodes'!$B$2:$B$1048576,""),"")</f>
        <v>Denied, dimensions line up with vpod</v>
      </c>
      <c r="H116" s="4" t="str">
        <f t="shared" si="1"/>
        <v/>
      </c>
      <c r="I116" s="6">
        <f>IF(F116="Approved",SUMIF([2]Recalc!A:A,D116,[2]Recalc!BX:BX),0)</f>
        <v>0</v>
      </c>
    </row>
    <row r="117" spans="1:9" x14ac:dyDescent="0.3">
      <c r="A117" s="5">
        <v>45949</v>
      </c>
      <c r="B117" s="4" t="s">
        <v>64</v>
      </c>
      <c r="C117" s="4"/>
      <c r="D117" s="4" t="s">
        <v>306</v>
      </c>
      <c r="E117" s="5">
        <v>45958</v>
      </c>
      <c r="F117" s="4" t="str">
        <f>IF(_xlfn.XLOOKUP(D117,[2]Recalc!A:A,[2]Recalc!A:A,"")=D117,"Approved","Denied")</f>
        <v>Denied</v>
      </c>
      <c r="G117" s="4" t="str">
        <f>IF(F117="Denied",_xlfn.XLOOKUP(D117,'[2]Denied Barcodes'!$A$2:$A$1048576,'[2]Denied Barcodes'!$B$2:$B$1048576,""),"")</f>
        <v>Denied, dimensions line up with vpod</v>
      </c>
      <c r="H117" s="4" t="str">
        <f t="shared" si="1"/>
        <v/>
      </c>
      <c r="I117" s="6">
        <f>IF(F117="Approved",SUMIF([2]Recalc!A:A,D117,[2]Recalc!BX:BX),0)</f>
        <v>0</v>
      </c>
    </row>
    <row r="118" spans="1:9" x14ac:dyDescent="0.3">
      <c r="A118" s="5">
        <v>45949</v>
      </c>
      <c r="B118" s="4" t="s">
        <v>64</v>
      </c>
      <c r="C118" s="4"/>
      <c r="D118" s="4" t="s">
        <v>307</v>
      </c>
      <c r="E118" s="5">
        <v>45958</v>
      </c>
      <c r="F118" s="4" t="str">
        <f>IF(_xlfn.XLOOKUP(D118,[2]Recalc!A:A,[2]Recalc!A:A,"")=D118,"Approved","Denied")</f>
        <v>Denied</v>
      </c>
      <c r="G118" s="4" t="str">
        <f>IF(F118="Denied",_xlfn.XLOOKUP(D118,'[2]Denied Barcodes'!$A$2:$A$1048576,'[2]Denied Barcodes'!$B$2:$B$1048576,""),"")</f>
        <v>Denied, dimensions line up with vpod and meet girth definition for AH</v>
      </c>
      <c r="H118" s="4" t="str">
        <f t="shared" si="1"/>
        <v/>
      </c>
      <c r="I118" s="6">
        <f>IF(F118="Approved",SUMIF([2]Recalc!A:A,D118,[2]Recalc!BX:BX),0)</f>
        <v>0</v>
      </c>
    </row>
    <row r="119" spans="1:9" x14ac:dyDescent="0.3">
      <c r="A119" s="5">
        <v>45949</v>
      </c>
      <c r="B119" s="4" t="s">
        <v>64</v>
      </c>
      <c r="C119" s="4"/>
      <c r="D119" s="4" t="s">
        <v>308</v>
      </c>
      <c r="E119" s="5">
        <v>45958</v>
      </c>
      <c r="F119" s="4" t="str">
        <f>IF(_xlfn.XLOOKUP(D119,[2]Recalc!A:A,[2]Recalc!A:A,"")=D119,"Approved","Denied")</f>
        <v>Denied</v>
      </c>
      <c r="G119" s="4" t="str">
        <f>IF(F119="Denied",_xlfn.XLOOKUP(D119,'[2]Denied Barcodes'!$A$2:$A$1048576,'[2]Denied Barcodes'!$B$2:$B$1048576,""),"")</f>
        <v>Denied, dimensions line up with vpod</v>
      </c>
      <c r="H119" s="4" t="str">
        <f t="shared" si="1"/>
        <v/>
      </c>
      <c r="I119" s="6">
        <f>IF(F119="Approved",SUMIF([2]Recalc!A:A,D119,[2]Recalc!BX:BX),0)</f>
        <v>0</v>
      </c>
    </row>
    <row r="120" spans="1:9" x14ac:dyDescent="0.3">
      <c r="A120" s="5">
        <v>45949</v>
      </c>
      <c r="B120" s="4" t="s">
        <v>64</v>
      </c>
      <c r="C120" s="4"/>
      <c r="D120" s="4" t="s">
        <v>309</v>
      </c>
      <c r="E120" s="5">
        <v>45958</v>
      </c>
      <c r="F120" s="4" t="str">
        <f>IF(_xlfn.XLOOKUP(D120,[2]Recalc!A:A,[2]Recalc!A:A,"")=D120,"Approved","Denied")</f>
        <v>Denied</v>
      </c>
      <c r="G120" s="4" t="str">
        <f>IF(F120="Denied",_xlfn.XLOOKUP(D120,'[2]Denied Barcodes'!$A$2:$A$1048576,'[2]Denied Barcodes'!$B$2:$B$1048576,""),"")</f>
        <v>Denied, dimensions line up with vpod</v>
      </c>
      <c r="H120" s="4" t="str">
        <f t="shared" si="1"/>
        <v/>
      </c>
      <c r="I120" s="6">
        <f>IF(F120="Approved",SUMIF([2]Recalc!A:A,D120,[2]Recalc!BX:BX),0)</f>
        <v>0</v>
      </c>
    </row>
    <row r="121" spans="1:9" x14ac:dyDescent="0.3">
      <c r="A121" s="5">
        <v>45949</v>
      </c>
      <c r="B121" s="4" t="s">
        <v>64</v>
      </c>
      <c r="C121" s="4"/>
      <c r="D121" s="4" t="s">
        <v>310</v>
      </c>
      <c r="E121" s="5">
        <v>45958</v>
      </c>
      <c r="F121" s="4" t="str">
        <f>IF(_xlfn.XLOOKUP(D121,[2]Recalc!A:A,[2]Recalc!A:A,"")=D121,"Approved","Denied")</f>
        <v>Denied</v>
      </c>
      <c r="G121" s="4" t="str">
        <f>IF(F121="Denied",_xlfn.XLOOKUP(D121,'[2]Denied Barcodes'!$A$2:$A$1048576,'[2]Denied Barcodes'!$B$2:$B$1048576,""),"")</f>
        <v>Denied, dimensions line up with vpod</v>
      </c>
      <c r="H121" s="4" t="str">
        <f t="shared" si="1"/>
        <v/>
      </c>
      <c r="I121" s="6">
        <f>IF(F121="Approved",SUMIF([2]Recalc!A:A,D121,[2]Recalc!BX:BX),0)</f>
        <v>0</v>
      </c>
    </row>
    <row r="122" spans="1:9" x14ac:dyDescent="0.3">
      <c r="A122" s="5">
        <v>45949</v>
      </c>
      <c r="B122" s="4" t="s">
        <v>64</v>
      </c>
      <c r="C122" s="4"/>
      <c r="D122" s="4" t="s">
        <v>311</v>
      </c>
      <c r="E122" s="5">
        <v>45958</v>
      </c>
      <c r="F122" s="4" t="str">
        <f>IF(_xlfn.XLOOKUP(D122,[2]Recalc!A:A,[2]Recalc!A:A,"")=D122,"Approved","Denied")</f>
        <v>Denied</v>
      </c>
      <c r="G122" s="4" t="str">
        <f>IF(F122="Denied",_xlfn.XLOOKUP(D122,'[2]Denied Barcodes'!$A$2:$A$1048576,'[2]Denied Barcodes'!$B$2:$B$1048576,""),"")</f>
        <v>Denied, dimensions line up with vpod</v>
      </c>
      <c r="H122" s="4" t="str">
        <f t="shared" si="1"/>
        <v/>
      </c>
      <c r="I122" s="6">
        <f>IF(F122="Approved",SUMIF([2]Recalc!A:A,D122,[2]Recalc!BX:BX),0)</f>
        <v>0</v>
      </c>
    </row>
    <row r="123" spans="1:9" x14ac:dyDescent="0.3">
      <c r="A123" s="5">
        <v>45949</v>
      </c>
      <c r="B123" s="4" t="s">
        <v>64</v>
      </c>
      <c r="C123" s="4"/>
      <c r="D123" s="4" t="s">
        <v>312</v>
      </c>
      <c r="E123" s="5">
        <v>45958</v>
      </c>
      <c r="F123" s="4" t="str">
        <f>IF(_xlfn.XLOOKUP(D123,[2]Recalc!A:A,[2]Recalc!A:A,"")=D123,"Approved","Denied")</f>
        <v>Denied</v>
      </c>
      <c r="G123" s="4" t="str">
        <f>IF(F123="Denied",_xlfn.XLOOKUP(D123,'[2]Denied Barcodes'!$A$2:$A$1048576,'[2]Denied Barcodes'!$B$2:$B$1048576,""),"")</f>
        <v>Denied, dimensions line up with vpod</v>
      </c>
      <c r="H123" s="4" t="str">
        <f t="shared" si="1"/>
        <v/>
      </c>
      <c r="I123" s="6">
        <f>IF(F123="Approved",SUMIF([2]Recalc!A:A,D123,[2]Recalc!BX:BX),0)</f>
        <v>0</v>
      </c>
    </row>
    <row r="124" spans="1:9" x14ac:dyDescent="0.3">
      <c r="A124" s="5">
        <v>45949</v>
      </c>
      <c r="B124" s="4" t="s">
        <v>64</v>
      </c>
      <c r="C124" s="4"/>
      <c r="D124" s="4" t="s">
        <v>313</v>
      </c>
      <c r="E124" s="5">
        <v>45958</v>
      </c>
      <c r="F124" s="4" t="str">
        <f>IF(_xlfn.XLOOKUP(D124,[2]Recalc!A:A,[2]Recalc!A:A,"")=D124,"Approved","Denied")</f>
        <v>Denied</v>
      </c>
      <c r="G124" s="4" t="str">
        <f>IF(F124="Denied",_xlfn.XLOOKUP(D124,'[2]Denied Barcodes'!$A$2:$A$1048576,'[2]Denied Barcodes'!$B$2:$B$1048576,""),"")</f>
        <v>Denied, dimensions line up with vpod</v>
      </c>
      <c r="H124" s="4" t="str">
        <f t="shared" si="1"/>
        <v/>
      </c>
      <c r="I124" s="6">
        <f>IF(F124="Approved",SUMIF([2]Recalc!A:A,D124,[2]Recalc!BX:BX),0)</f>
        <v>0</v>
      </c>
    </row>
    <row r="125" spans="1:9" x14ac:dyDescent="0.3">
      <c r="A125" s="5">
        <v>45949</v>
      </c>
      <c r="B125" s="4" t="s">
        <v>64</v>
      </c>
      <c r="C125" s="4"/>
      <c r="D125" s="4" t="s">
        <v>314</v>
      </c>
      <c r="E125" s="5">
        <v>45958</v>
      </c>
      <c r="F125" s="4" t="str">
        <f>IF(_xlfn.XLOOKUP(D125,[2]Recalc!A:A,[2]Recalc!A:A,"")=D125,"Approved","Denied")</f>
        <v>Denied</v>
      </c>
      <c r="G125" s="4" t="str">
        <f>IF(F125="Denied",_xlfn.XLOOKUP(D125,'[2]Denied Barcodes'!$A$2:$A$1048576,'[2]Denied Barcodes'!$B$2:$B$1048576,""),"")</f>
        <v>Denied, dimensions line up with vpod</v>
      </c>
      <c r="H125" s="4" t="str">
        <f t="shared" si="1"/>
        <v/>
      </c>
      <c r="I125" s="6">
        <f>IF(F125="Approved",SUMIF([2]Recalc!A:A,D125,[2]Recalc!BX:BX),0)</f>
        <v>0</v>
      </c>
    </row>
    <row r="126" spans="1:9" x14ac:dyDescent="0.3">
      <c r="A126" s="5">
        <v>45949</v>
      </c>
      <c r="B126" s="4" t="s">
        <v>64</v>
      </c>
      <c r="C126" s="4"/>
      <c r="D126" s="4" t="s">
        <v>315</v>
      </c>
      <c r="E126" s="5">
        <v>45958</v>
      </c>
      <c r="F126" s="4" t="str">
        <f>IF(_xlfn.XLOOKUP(D126,[2]Recalc!A:A,[2]Recalc!A:A,"")=D126,"Approved","Denied")</f>
        <v>Denied</v>
      </c>
      <c r="G126" s="4" t="str">
        <f>IF(F126="Denied",_xlfn.XLOOKUP(D126,'[2]Denied Barcodes'!$A$2:$A$1048576,'[2]Denied Barcodes'!$B$2:$B$1048576,""),"")</f>
        <v>Denied, customer dimensions meet girth definition for AH</v>
      </c>
      <c r="H126" s="4" t="str">
        <f t="shared" si="1"/>
        <v/>
      </c>
      <c r="I126" s="6">
        <f>IF(F126="Approved",SUMIF([2]Recalc!A:A,D126,[2]Recalc!BX:BX),0)</f>
        <v>0</v>
      </c>
    </row>
    <row r="127" spans="1:9" x14ac:dyDescent="0.3">
      <c r="A127" s="5">
        <v>45949</v>
      </c>
      <c r="B127" s="4" t="s">
        <v>64</v>
      </c>
      <c r="C127" s="4"/>
      <c r="D127" s="4" t="s">
        <v>316</v>
      </c>
      <c r="E127" s="5">
        <v>45958</v>
      </c>
      <c r="F127" s="4" t="str">
        <f>IF(_xlfn.XLOOKUP(D127,[2]Recalc!A:A,[2]Recalc!A:A,"")=D127,"Approved","Denied")</f>
        <v>Denied</v>
      </c>
      <c r="G127" s="4" t="str">
        <f>IF(F127="Denied",_xlfn.XLOOKUP(D127,'[2]Denied Barcodes'!$A$2:$A$1048576,'[2]Denied Barcodes'!$B$2:$B$1048576,""),"")</f>
        <v>Denied, customer dimensions meet girth definition for AH</v>
      </c>
      <c r="H127" s="4" t="str">
        <f t="shared" si="1"/>
        <v/>
      </c>
      <c r="I127" s="6">
        <f>IF(F127="Approved",SUMIF([2]Recalc!A:A,D127,[2]Recalc!BX:BX),0)</f>
        <v>0</v>
      </c>
    </row>
    <row r="128" spans="1:9" x14ac:dyDescent="0.3">
      <c r="A128" s="5">
        <v>45949</v>
      </c>
      <c r="B128" s="4" t="s">
        <v>64</v>
      </c>
      <c r="C128" s="4"/>
      <c r="D128" s="4" t="s">
        <v>317</v>
      </c>
      <c r="E128" s="5">
        <v>45958</v>
      </c>
      <c r="F128" s="4" t="str">
        <f>IF(_xlfn.XLOOKUP(D128,[2]Recalc!A:A,[2]Recalc!A:A,"")=D128,"Approved","Denied")</f>
        <v>Denied</v>
      </c>
      <c r="G128" s="4" t="str">
        <f>IF(F128="Denied",_xlfn.XLOOKUP(D128,'[2]Denied Barcodes'!$A$2:$A$1048576,'[2]Denied Barcodes'!$B$2:$B$1048576,""),"")</f>
        <v>Denied, customer dimensions meet girth definition for AH</v>
      </c>
      <c r="H128" s="4" t="str">
        <f t="shared" si="1"/>
        <v/>
      </c>
      <c r="I128" s="6">
        <f>IF(F128="Approved",SUMIF([2]Recalc!A:A,D128,[2]Recalc!BX:BX),0)</f>
        <v>0</v>
      </c>
    </row>
    <row r="129" spans="1:9" x14ac:dyDescent="0.3">
      <c r="A129" s="5">
        <v>45949</v>
      </c>
      <c r="B129" s="4" t="s">
        <v>64</v>
      </c>
      <c r="C129" s="4"/>
      <c r="D129" s="4" t="s">
        <v>318</v>
      </c>
      <c r="E129" s="5">
        <v>45958</v>
      </c>
      <c r="F129" s="4" t="str">
        <f>IF(_xlfn.XLOOKUP(D129,[2]Recalc!A:A,[2]Recalc!A:A,"")=D129,"Approved","Denied")</f>
        <v>Denied</v>
      </c>
      <c r="G129" s="4" t="str">
        <f>IF(F129="Denied",_xlfn.XLOOKUP(D129,'[2]Denied Barcodes'!$A$2:$A$1048576,'[2]Denied Barcodes'!$B$2:$B$1048576,""),"")</f>
        <v>Denied, customer dimensions meet girth definition for AH</v>
      </c>
      <c r="H129" s="4" t="str">
        <f t="shared" si="1"/>
        <v/>
      </c>
      <c r="I129" s="6">
        <f>IF(F129="Approved",SUMIF([2]Recalc!A:A,D129,[2]Recalc!BX:BX),0)</f>
        <v>0</v>
      </c>
    </row>
    <row r="130" spans="1:9" x14ac:dyDescent="0.3">
      <c r="A130" s="5">
        <v>45949</v>
      </c>
      <c r="B130" s="4" t="s">
        <v>64</v>
      </c>
      <c r="C130" s="4"/>
      <c r="D130" s="4" t="s">
        <v>319</v>
      </c>
      <c r="E130" s="5">
        <v>45958</v>
      </c>
      <c r="F130" s="4" t="str">
        <f>IF(_xlfn.XLOOKUP(D130,[2]Recalc!A:A,[2]Recalc!A:A,"")=D130,"Approved","Denied")</f>
        <v>Denied</v>
      </c>
      <c r="G130" s="4" t="str">
        <f>IF(F130="Denied",_xlfn.XLOOKUP(D130,'[2]Denied Barcodes'!$A$2:$A$1048576,'[2]Denied Barcodes'!$B$2:$B$1048576,""),"")</f>
        <v>Denied, customer dimensions meet girth definition for AH</v>
      </c>
      <c r="H130" s="4" t="str">
        <f t="shared" ref="H130:H193" si="2">IF(I130&lt;0,"Credit",IF(I130&gt;0,"Debit",""))</f>
        <v/>
      </c>
      <c r="I130" s="6">
        <f>IF(F130="Approved",SUMIF([2]Recalc!A:A,D130,[2]Recalc!BX:BX),0)</f>
        <v>0</v>
      </c>
    </row>
    <row r="131" spans="1:9" x14ac:dyDescent="0.3">
      <c r="A131" s="5">
        <v>45949</v>
      </c>
      <c r="B131" s="4" t="s">
        <v>64</v>
      </c>
      <c r="C131" s="4"/>
      <c r="D131" s="4" t="s">
        <v>320</v>
      </c>
      <c r="E131" s="5">
        <v>45958</v>
      </c>
      <c r="F131" s="4" t="str">
        <f>IF(_xlfn.XLOOKUP(D131,[2]Recalc!A:A,[2]Recalc!A:A,"")=D131,"Approved","Denied")</f>
        <v>Denied</v>
      </c>
      <c r="G131" s="4" t="str">
        <f>IF(F131="Denied",_xlfn.XLOOKUP(D131,'[2]Denied Barcodes'!$A$2:$A$1048576,'[2]Denied Barcodes'!$B$2:$B$1048576,""),"")</f>
        <v>Denied, customer dimensions meet girth definition for AH</v>
      </c>
      <c r="H131" s="4" t="str">
        <f t="shared" si="2"/>
        <v/>
      </c>
      <c r="I131" s="6">
        <f>IF(F131="Approved",SUMIF([2]Recalc!A:A,D131,[2]Recalc!BX:BX),0)</f>
        <v>0</v>
      </c>
    </row>
    <row r="132" spans="1:9" x14ac:dyDescent="0.3">
      <c r="A132" s="5">
        <v>45949</v>
      </c>
      <c r="B132" s="4" t="s">
        <v>64</v>
      </c>
      <c r="C132" s="4"/>
      <c r="D132" s="4" t="s">
        <v>321</v>
      </c>
      <c r="E132" s="5">
        <v>45958</v>
      </c>
      <c r="F132" s="4" t="str">
        <f>IF(_xlfn.XLOOKUP(D132,[2]Recalc!A:A,[2]Recalc!A:A,"")=D132,"Approved","Denied")</f>
        <v>Denied</v>
      </c>
      <c r="G132" s="4" t="str">
        <f>IF(F132="Denied",_xlfn.XLOOKUP(D132,'[2]Denied Barcodes'!$A$2:$A$1048576,'[2]Denied Barcodes'!$B$2:$B$1048576,""),"")</f>
        <v>Denied, customer dimensions meet girth definition for AH</v>
      </c>
      <c r="H132" s="4" t="str">
        <f t="shared" si="2"/>
        <v/>
      </c>
      <c r="I132" s="6">
        <f>IF(F132="Approved",SUMIF([2]Recalc!A:A,D132,[2]Recalc!BX:BX),0)</f>
        <v>0</v>
      </c>
    </row>
    <row r="133" spans="1:9" x14ac:dyDescent="0.3">
      <c r="A133" s="5">
        <v>45949</v>
      </c>
      <c r="B133" s="4" t="s">
        <v>64</v>
      </c>
      <c r="C133" s="4"/>
      <c r="D133" s="4" t="s">
        <v>322</v>
      </c>
      <c r="E133" s="5">
        <v>45958</v>
      </c>
      <c r="F133" s="4" t="str">
        <f>IF(_xlfn.XLOOKUP(D133,[2]Recalc!A:A,[2]Recalc!A:A,"")=D133,"Approved","Denied")</f>
        <v>Denied</v>
      </c>
      <c r="G133" s="4" t="str">
        <f>IF(F133="Denied",_xlfn.XLOOKUP(D133,'[2]Denied Barcodes'!$A$2:$A$1048576,'[2]Denied Barcodes'!$B$2:$B$1048576,""),"")</f>
        <v>Denied, customer dimensions meet girth definition for AH</v>
      </c>
      <c r="H133" s="4" t="str">
        <f t="shared" si="2"/>
        <v/>
      </c>
      <c r="I133" s="6">
        <f>IF(F133="Approved",SUMIF([2]Recalc!A:A,D133,[2]Recalc!BX:BX),0)</f>
        <v>0</v>
      </c>
    </row>
    <row r="134" spans="1:9" x14ac:dyDescent="0.3">
      <c r="A134" s="5">
        <v>45949</v>
      </c>
      <c r="B134" s="4" t="s">
        <v>64</v>
      </c>
      <c r="C134" s="4"/>
      <c r="D134" s="4" t="s">
        <v>323</v>
      </c>
      <c r="E134" s="5">
        <v>45958</v>
      </c>
      <c r="F134" s="4" t="str">
        <f>IF(_xlfn.XLOOKUP(D134,[2]Recalc!A:A,[2]Recalc!A:A,"")=D134,"Approved","Denied")</f>
        <v>Denied</v>
      </c>
      <c r="G134" s="4" t="str">
        <f>IF(F134="Denied",_xlfn.XLOOKUP(D134,'[2]Denied Barcodes'!$A$2:$A$1048576,'[2]Denied Barcodes'!$B$2:$B$1048576,""),"")</f>
        <v>Denied, customer dimensions meet girth definition for AH</v>
      </c>
      <c r="H134" s="4" t="str">
        <f t="shared" si="2"/>
        <v/>
      </c>
      <c r="I134" s="6">
        <f>IF(F134="Approved",SUMIF([2]Recalc!A:A,D134,[2]Recalc!BX:BX),0)</f>
        <v>0</v>
      </c>
    </row>
    <row r="135" spans="1:9" x14ac:dyDescent="0.3">
      <c r="A135" s="5">
        <v>45949</v>
      </c>
      <c r="B135" s="4" t="s">
        <v>64</v>
      </c>
      <c r="C135" s="4"/>
      <c r="D135" s="4" t="s">
        <v>324</v>
      </c>
      <c r="E135" s="5">
        <v>45958</v>
      </c>
      <c r="F135" s="4" t="str">
        <f>IF(_xlfn.XLOOKUP(D135,[2]Recalc!A:A,[2]Recalc!A:A,"")=D135,"Approved","Denied")</f>
        <v>Denied</v>
      </c>
      <c r="G135" s="4" t="str">
        <f>IF(F135="Denied",_xlfn.XLOOKUP(D135,'[2]Denied Barcodes'!$A$2:$A$1048576,'[2]Denied Barcodes'!$B$2:$B$1048576,""),"")</f>
        <v>Denied, customer dimensions meet girth definition for AH</v>
      </c>
      <c r="H135" s="4" t="str">
        <f t="shared" si="2"/>
        <v/>
      </c>
      <c r="I135" s="6">
        <f>IF(F135="Approved",SUMIF([2]Recalc!A:A,D135,[2]Recalc!BX:BX),0)</f>
        <v>0</v>
      </c>
    </row>
    <row r="136" spans="1:9" x14ac:dyDescent="0.3">
      <c r="A136" s="5">
        <v>45949</v>
      </c>
      <c r="B136" s="4" t="s">
        <v>64</v>
      </c>
      <c r="C136" s="4"/>
      <c r="D136" s="4" t="s">
        <v>325</v>
      </c>
      <c r="E136" s="5">
        <v>45958</v>
      </c>
      <c r="F136" s="4" t="str">
        <f>IF(_xlfn.XLOOKUP(D136,[2]Recalc!A:A,[2]Recalc!A:A,"")=D136,"Approved","Denied")</f>
        <v>Denied</v>
      </c>
      <c r="G136" s="4" t="str">
        <f>IF(F136="Denied",_xlfn.XLOOKUP(D136,'[2]Denied Barcodes'!$A$2:$A$1048576,'[2]Denied Barcodes'!$B$2:$B$1048576,""),"")</f>
        <v>Denied, customer dimensions meet girth definition for AH</v>
      </c>
      <c r="H136" s="4" t="str">
        <f t="shared" si="2"/>
        <v/>
      </c>
      <c r="I136" s="6">
        <f>IF(F136="Approved",SUMIF([2]Recalc!A:A,D136,[2]Recalc!BX:BX),0)</f>
        <v>0</v>
      </c>
    </row>
    <row r="137" spans="1:9" x14ac:dyDescent="0.3">
      <c r="A137" s="5">
        <v>45949</v>
      </c>
      <c r="B137" s="4" t="s">
        <v>64</v>
      </c>
      <c r="C137" s="4"/>
      <c r="D137" s="4" t="s">
        <v>326</v>
      </c>
      <c r="E137" s="5">
        <v>45958</v>
      </c>
      <c r="F137" s="4" t="str">
        <f>IF(_xlfn.XLOOKUP(D137,[2]Recalc!A:A,[2]Recalc!A:A,"")=D137,"Approved","Denied")</f>
        <v>Denied</v>
      </c>
      <c r="G137" s="4" t="str">
        <f>IF(F137="Denied",_xlfn.XLOOKUP(D137,'[2]Denied Barcodes'!$A$2:$A$1048576,'[2]Denied Barcodes'!$B$2:$B$1048576,""),"")</f>
        <v>Denied, outside of dispute period</v>
      </c>
      <c r="H137" s="4" t="str">
        <f t="shared" si="2"/>
        <v/>
      </c>
      <c r="I137" s="6">
        <f>IF(F137="Approved",SUMIF([2]Recalc!A:A,D137,[2]Recalc!BX:BX),0)</f>
        <v>0</v>
      </c>
    </row>
    <row r="138" spans="1:9" x14ac:dyDescent="0.3">
      <c r="A138" s="5">
        <v>45949</v>
      </c>
      <c r="B138" s="4" t="s">
        <v>64</v>
      </c>
      <c r="C138" s="4"/>
      <c r="D138" s="4" t="s">
        <v>327</v>
      </c>
      <c r="E138" s="5">
        <v>45958</v>
      </c>
      <c r="F138" s="4" t="str">
        <f>IF(_xlfn.XLOOKUP(D138,[2]Recalc!A:A,[2]Recalc!A:A,"")=D138,"Approved","Denied")</f>
        <v>Denied</v>
      </c>
      <c r="G138" s="4" t="str">
        <f>IF(F138="Denied",_xlfn.XLOOKUP(D138,'[2]Denied Barcodes'!$A$2:$A$1048576,'[2]Denied Barcodes'!$B$2:$B$1048576,""),"")</f>
        <v>Denied, outside of dispute period</v>
      </c>
      <c r="H138" s="4" t="str">
        <f t="shared" si="2"/>
        <v/>
      </c>
      <c r="I138" s="6">
        <f>IF(F138="Approved",SUMIF([2]Recalc!A:A,D138,[2]Recalc!BX:BX),0)</f>
        <v>0</v>
      </c>
    </row>
    <row r="139" spans="1:9" x14ac:dyDescent="0.3">
      <c r="A139" s="5">
        <v>45949</v>
      </c>
      <c r="B139" s="4" t="s">
        <v>64</v>
      </c>
      <c r="C139" s="4"/>
      <c r="D139" s="4" t="s">
        <v>328</v>
      </c>
      <c r="E139" s="5">
        <v>45958</v>
      </c>
      <c r="F139" s="4" t="str">
        <f>IF(_xlfn.XLOOKUP(D139,[2]Recalc!A:A,[2]Recalc!A:A,"")=D139,"Approved","Denied")</f>
        <v>Denied</v>
      </c>
      <c r="G139" s="4" t="str">
        <f>IF(F139="Denied",_xlfn.XLOOKUP(D139,'[2]Denied Barcodes'!$A$2:$A$1048576,'[2]Denied Barcodes'!$B$2:$B$1048576,""),"")</f>
        <v>Denied, dimensions line up with vpod and meet girth definition for AH</v>
      </c>
      <c r="H139" s="4" t="str">
        <f t="shared" si="2"/>
        <v/>
      </c>
      <c r="I139" s="6">
        <f>IF(F139="Approved",SUMIF([2]Recalc!A:A,D139,[2]Recalc!BX:BX),0)</f>
        <v>0</v>
      </c>
    </row>
    <row r="140" spans="1:9" x14ac:dyDescent="0.3">
      <c r="A140" s="5">
        <v>45949</v>
      </c>
      <c r="B140" s="4" t="s">
        <v>64</v>
      </c>
      <c r="C140" s="4"/>
      <c r="D140" s="4" t="s">
        <v>329</v>
      </c>
      <c r="E140" s="5">
        <v>45958</v>
      </c>
      <c r="F140" s="4" t="str">
        <f>IF(_xlfn.XLOOKUP(D140,[2]Recalc!A:A,[2]Recalc!A:A,"")=D140,"Approved","Denied")</f>
        <v>Denied</v>
      </c>
      <c r="G140" s="4" t="str">
        <f>IF(F140="Denied",_xlfn.XLOOKUP(D140,'[2]Denied Barcodes'!$A$2:$A$1048576,'[2]Denied Barcodes'!$B$2:$B$1048576,""),"")</f>
        <v>Denied, dimensions line up with vpod and meet girth definition for AH</v>
      </c>
      <c r="H140" s="4" t="str">
        <f t="shared" si="2"/>
        <v/>
      </c>
      <c r="I140" s="6">
        <f>IF(F140="Approved",SUMIF([2]Recalc!A:A,D140,[2]Recalc!BX:BX),0)</f>
        <v>0</v>
      </c>
    </row>
    <row r="141" spans="1:9" x14ac:dyDescent="0.3">
      <c r="A141" s="5">
        <v>45949</v>
      </c>
      <c r="B141" s="4" t="s">
        <v>64</v>
      </c>
      <c r="C141" s="4"/>
      <c r="D141" s="4" t="s">
        <v>330</v>
      </c>
      <c r="E141" s="5">
        <v>45958</v>
      </c>
      <c r="F141" s="4" t="str">
        <f>IF(_xlfn.XLOOKUP(D141,[2]Recalc!A:A,[2]Recalc!A:A,"")=D141,"Approved","Denied")</f>
        <v>Denied</v>
      </c>
      <c r="G141" s="4" t="str">
        <f>IF(F141="Denied",_xlfn.XLOOKUP(D141,'[2]Denied Barcodes'!$A$2:$A$1048576,'[2]Denied Barcodes'!$B$2:$B$1048576,""),"")</f>
        <v>Denied, dimensions line up with vpod</v>
      </c>
      <c r="H141" s="4" t="str">
        <f t="shared" si="2"/>
        <v/>
      </c>
      <c r="I141" s="6">
        <f>IF(F141="Approved",SUMIF([2]Recalc!A:A,D141,[2]Recalc!BX:BX),0)</f>
        <v>0</v>
      </c>
    </row>
    <row r="142" spans="1:9" x14ac:dyDescent="0.3">
      <c r="A142" s="5">
        <v>45949</v>
      </c>
      <c r="B142" s="4" t="s">
        <v>64</v>
      </c>
      <c r="C142" s="4"/>
      <c r="D142" s="4" t="s">
        <v>331</v>
      </c>
      <c r="E142" s="5">
        <v>45958</v>
      </c>
      <c r="F142" s="4" t="str">
        <f>IF(_xlfn.XLOOKUP(D142,[2]Recalc!A:A,[2]Recalc!A:A,"")=D142,"Approved","Denied")</f>
        <v>Denied</v>
      </c>
      <c r="G142" s="4" t="str">
        <f>IF(F142="Denied",_xlfn.XLOOKUP(D142,'[2]Denied Barcodes'!$A$2:$A$1048576,'[2]Denied Barcodes'!$B$2:$B$1048576,""),"")</f>
        <v>Denied, outside of dispute period</v>
      </c>
      <c r="H142" s="4" t="str">
        <f t="shared" si="2"/>
        <v/>
      </c>
      <c r="I142" s="6">
        <f>IF(F142="Approved",SUMIF([2]Recalc!A:A,D142,[2]Recalc!BX:BX),0)</f>
        <v>0</v>
      </c>
    </row>
    <row r="143" spans="1:9" x14ac:dyDescent="0.3">
      <c r="A143" s="5">
        <v>45949</v>
      </c>
      <c r="B143" s="4" t="s">
        <v>64</v>
      </c>
      <c r="C143" s="4"/>
      <c r="D143" s="4" t="s">
        <v>332</v>
      </c>
      <c r="E143" s="5">
        <v>45958</v>
      </c>
      <c r="F143" s="4" t="str">
        <f>IF(_xlfn.XLOOKUP(D143,[2]Recalc!A:A,[2]Recalc!A:A,"")=D143,"Approved","Denied")</f>
        <v>Denied</v>
      </c>
      <c r="G143" s="4" t="str">
        <f>IF(F143="Denied",_xlfn.XLOOKUP(D143,'[2]Denied Barcodes'!$A$2:$A$1048576,'[2]Denied Barcodes'!$B$2:$B$1048576,""),"")</f>
        <v>Denied, dimensions line up with vpod and meet girth definition for AH</v>
      </c>
      <c r="H143" s="4" t="str">
        <f t="shared" si="2"/>
        <v/>
      </c>
      <c r="I143" s="6">
        <f>IF(F143="Approved",SUMIF([2]Recalc!A:A,D143,[2]Recalc!BX:BX),0)</f>
        <v>0</v>
      </c>
    </row>
    <row r="144" spans="1:9" x14ac:dyDescent="0.3">
      <c r="A144" s="5">
        <v>45949</v>
      </c>
      <c r="B144" s="4" t="s">
        <v>64</v>
      </c>
      <c r="C144" s="4"/>
      <c r="D144" s="4" t="s">
        <v>333</v>
      </c>
      <c r="E144" s="5">
        <v>45958</v>
      </c>
      <c r="F144" s="4" t="str">
        <f>IF(_xlfn.XLOOKUP(D144,[2]Recalc!A:A,[2]Recalc!A:A,"")=D144,"Approved","Denied")</f>
        <v>Denied</v>
      </c>
      <c r="G144" s="4" t="str">
        <f>IF(F144="Denied",_xlfn.XLOOKUP(D144,'[2]Denied Barcodes'!$A$2:$A$1048576,'[2]Denied Barcodes'!$B$2:$B$1048576,""),"")</f>
        <v>Denied, customer dimensions meet girth definition for AH</v>
      </c>
      <c r="H144" s="4" t="str">
        <f t="shared" si="2"/>
        <v/>
      </c>
      <c r="I144" s="6">
        <f>IF(F144="Approved",SUMIF([2]Recalc!A:A,D144,[2]Recalc!BX:BX),0)</f>
        <v>0</v>
      </c>
    </row>
    <row r="145" spans="1:9" x14ac:dyDescent="0.3">
      <c r="A145" s="5">
        <v>45949</v>
      </c>
      <c r="B145" s="4" t="s">
        <v>64</v>
      </c>
      <c r="C145" s="4"/>
      <c r="D145" s="4" t="s">
        <v>334</v>
      </c>
      <c r="E145" s="5">
        <v>45958</v>
      </c>
      <c r="F145" s="4" t="str">
        <f>IF(_xlfn.XLOOKUP(D145,[2]Recalc!A:A,[2]Recalc!A:A,"")=D145,"Approved","Denied")</f>
        <v>Denied</v>
      </c>
      <c r="G145" s="4" t="str">
        <f>IF(F145="Denied",_xlfn.XLOOKUP(D145,'[2]Denied Barcodes'!$A$2:$A$1048576,'[2]Denied Barcodes'!$B$2:$B$1048576,""),"")</f>
        <v>Denied, customer dimensions meet girth definition for AH</v>
      </c>
      <c r="H145" s="4" t="str">
        <f t="shared" si="2"/>
        <v/>
      </c>
      <c r="I145" s="6">
        <f>IF(F145="Approved",SUMIF([2]Recalc!A:A,D145,[2]Recalc!BX:BX),0)</f>
        <v>0</v>
      </c>
    </row>
    <row r="146" spans="1:9" x14ac:dyDescent="0.3">
      <c r="A146" s="5">
        <v>45949</v>
      </c>
      <c r="B146" s="4" t="s">
        <v>64</v>
      </c>
      <c r="C146" s="4"/>
      <c r="D146" s="4" t="s">
        <v>335</v>
      </c>
      <c r="E146" s="5">
        <v>45958</v>
      </c>
      <c r="F146" s="4" t="str">
        <f>IF(_xlfn.XLOOKUP(D146,[2]Recalc!A:A,[2]Recalc!A:A,"")=D146,"Approved","Denied")</f>
        <v>Denied</v>
      </c>
      <c r="G146" s="4" t="str">
        <f>IF(F146="Denied",_xlfn.XLOOKUP(D146,'[2]Denied Barcodes'!$A$2:$A$1048576,'[2]Denied Barcodes'!$B$2:$B$1048576,""),"")</f>
        <v>Denied, dimensions line up with vpod</v>
      </c>
      <c r="H146" s="4" t="str">
        <f t="shared" si="2"/>
        <v/>
      </c>
      <c r="I146" s="6">
        <f>IF(F146="Approved",SUMIF([2]Recalc!A:A,D146,[2]Recalc!BX:BX),0)</f>
        <v>0</v>
      </c>
    </row>
    <row r="147" spans="1:9" x14ac:dyDescent="0.3">
      <c r="A147" s="5">
        <v>45949</v>
      </c>
      <c r="B147" s="4" t="s">
        <v>64</v>
      </c>
      <c r="C147" s="4"/>
      <c r="D147" s="4" t="s">
        <v>336</v>
      </c>
      <c r="E147" s="5">
        <v>45958</v>
      </c>
      <c r="F147" s="4" t="str">
        <f>IF(_xlfn.XLOOKUP(D147,[2]Recalc!A:A,[2]Recalc!A:A,"")=D147,"Approved","Denied")</f>
        <v>Denied</v>
      </c>
      <c r="G147" s="4" t="str">
        <f>IF(F147="Denied",_xlfn.XLOOKUP(D147,'[2]Denied Barcodes'!$A$2:$A$1048576,'[2]Denied Barcodes'!$B$2:$B$1048576,""),"")</f>
        <v>Denied, dimensions line up with vpod</v>
      </c>
      <c r="H147" s="4" t="str">
        <f t="shared" si="2"/>
        <v/>
      </c>
      <c r="I147" s="6">
        <f>IF(F147="Approved",SUMIF([2]Recalc!A:A,D147,[2]Recalc!BX:BX),0)</f>
        <v>0</v>
      </c>
    </row>
    <row r="148" spans="1:9" x14ac:dyDescent="0.3">
      <c r="A148" s="5">
        <v>45949</v>
      </c>
      <c r="B148" s="4" t="s">
        <v>64</v>
      </c>
      <c r="C148" s="4"/>
      <c r="D148" s="4" t="s">
        <v>337</v>
      </c>
      <c r="E148" s="5">
        <v>45958</v>
      </c>
      <c r="F148" s="4" t="str">
        <f>IF(_xlfn.XLOOKUP(D148,[2]Recalc!A:A,[2]Recalc!A:A,"")=D148,"Approved","Denied")</f>
        <v>Denied</v>
      </c>
      <c r="G148" s="4" t="str">
        <f>IF(F148="Denied",_xlfn.XLOOKUP(D148,'[2]Denied Barcodes'!$A$2:$A$1048576,'[2]Denied Barcodes'!$B$2:$B$1048576,""),"")</f>
        <v>Denied, outside of dispute period</v>
      </c>
      <c r="H148" s="4" t="str">
        <f t="shared" si="2"/>
        <v/>
      </c>
      <c r="I148" s="6">
        <f>IF(F148="Approved",SUMIF([2]Recalc!A:A,D148,[2]Recalc!BX:BX),0)</f>
        <v>0</v>
      </c>
    </row>
    <row r="149" spans="1:9" x14ac:dyDescent="0.3">
      <c r="A149" s="5">
        <v>45949</v>
      </c>
      <c r="B149" s="4" t="s">
        <v>64</v>
      </c>
      <c r="C149" s="4"/>
      <c r="D149" s="4" t="s">
        <v>338</v>
      </c>
      <c r="E149" s="5">
        <v>45958</v>
      </c>
      <c r="F149" s="4" t="str">
        <f>IF(_xlfn.XLOOKUP(D149,[2]Recalc!A:A,[2]Recalc!A:A,"")=D149,"Approved","Denied")</f>
        <v>Denied</v>
      </c>
      <c r="G149" s="4" t="str">
        <f>IF(F149="Denied",_xlfn.XLOOKUP(D149,'[2]Denied Barcodes'!$A$2:$A$1048576,'[2]Denied Barcodes'!$B$2:$B$1048576,""),"")</f>
        <v>Denied, dimensions line up with vpod and meet girth definition for AH</v>
      </c>
      <c r="H149" s="4" t="str">
        <f t="shared" si="2"/>
        <v/>
      </c>
      <c r="I149" s="6">
        <f>IF(F149="Approved",SUMIF([2]Recalc!A:A,D149,[2]Recalc!BX:BX),0)</f>
        <v>0</v>
      </c>
    </row>
    <row r="150" spans="1:9" x14ac:dyDescent="0.3">
      <c r="A150" s="5">
        <v>45949</v>
      </c>
      <c r="B150" s="4" t="s">
        <v>64</v>
      </c>
      <c r="C150" s="4"/>
      <c r="D150" s="4" t="s">
        <v>339</v>
      </c>
      <c r="E150" s="5">
        <v>45958</v>
      </c>
      <c r="F150" s="4" t="str">
        <f>IF(_xlfn.XLOOKUP(D150,[2]Recalc!A:A,[2]Recalc!A:A,"")=D150,"Approved","Denied")</f>
        <v>Denied</v>
      </c>
      <c r="G150" s="4" t="str">
        <f>IF(F150="Denied",_xlfn.XLOOKUP(D150,'[2]Denied Barcodes'!$A$2:$A$1048576,'[2]Denied Barcodes'!$B$2:$B$1048576,""),"")</f>
        <v>Denied, dimensions line up with vpod</v>
      </c>
      <c r="H150" s="4" t="str">
        <f t="shared" si="2"/>
        <v/>
      </c>
      <c r="I150" s="6">
        <f>IF(F150="Approved",SUMIF([2]Recalc!A:A,D150,[2]Recalc!BX:BX),0)</f>
        <v>0</v>
      </c>
    </row>
    <row r="151" spans="1:9" x14ac:dyDescent="0.3">
      <c r="A151" s="5">
        <v>45949</v>
      </c>
      <c r="B151" s="4" t="s">
        <v>64</v>
      </c>
      <c r="C151" s="4"/>
      <c r="D151" s="4" t="s">
        <v>340</v>
      </c>
      <c r="E151" s="5">
        <v>45958</v>
      </c>
      <c r="F151" s="4" t="str">
        <f>IF(_xlfn.XLOOKUP(D151,[2]Recalc!A:A,[2]Recalc!A:A,"")=D151,"Approved","Denied")</f>
        <v>Denied</v>
      </c>
      <c r="G151" s="4" t="str">
        <f>IF(F151="Denied",_xlfn.XLOOKUP(D151,'[2]Denied Barcodes'!$A$2:$A$1048576,'[2]Denied Barcodes'!$B$2:$B$1048576,""),"")</f>
        <v>Denied, dimensions line up with vpod</v>
      </c>
      <c r="H151" s="4" t="str">
        <f t="shared" si="2"/>
        <v/>
      </c>
      <c r="I151" s="6">
        <f>IF(F151="Approved",SUMIF([2]Recalc!A:A,D151,[2]Recalc!BX:BX),0)</f>
        <v>0</v>
      </c>
    </row>
    <row r="152" spans="1:9" x14ac:dyDescent="0.3">
      <c r="A152" s="5">
        <v>45949</v>
      </c>
      <c r="B152" s="4" t="s">
        <v>64</v>
      </c>
      <c r="C152" s="4"/>
      <c r="D152" s="4" t="s">
        <v>341</v>
      </c>
      <c r="E152" s="5">
        <v>45958</v>
      </c>
      <c r="F152" s="4" t="str">
        <f>IF(_xlfn.XLOOKUP(D152,[2]Recalc!A:A,[2]Recalc!A:A,"")=D152,"Approved","Denied")</f>
        <v>Denied</v>
      </c>
      <c r="G152" s="4" t="str">
        <f>IF(F152="Denied",_xlfn.XLOOKUP(D152,'[2]Denied Barcodes'!$A$2:$A$1048576,'[2]Denied Barcodes'!$B$2:$B$1048576,""),"")</f>
        <v>Denied, customer dimensions meet girth definition for AH</v>
      </c>
      <c r="H152" s="4" t="str">
        <f t="shared" si="2"/>
        <v/>
      </c>
      <c r="I152" s="6">
        <f>IF(F152="Approved",SUMIF([2]Recalc!A:A,D152,[2]Recalc!BX:BX),0)</f>
        <v>0</v>
      </c>
    </row>
    <row r="153" spans="1:9" x14ac:dyDescent="0.3">
      <c r="A153" s="5">
        <v>45949</v>
      </c>
      <c r="B153" s="4" t="s">
        <v>64</v>
      </c>
      <c r="C153" s="4"/>
      <c r="D153" s="4" t="s">
        <v>342</v>
      </c>
      <c r="E153" s="5">
        <v>45958</v>
      </c>
      <c r="F153" s="4" t="str">
        <f>IF(_xlfn.XLOOKUP(D153,[2]Recalc!A:A,[2]Recalc!A:A,"")=D153,"Approved","Denied")</f>
        <v>Denied</v>
      </c>
      <c r="G153" s="4" t="str">
        <f>IF(F153="Denied",_xlfn.XLOOKUP(D153,'[2]Denied Barcodes'!$A$2:$A$1048576,'[2]Denied Barcodes'!$B$2:$B$1048576,""),"")</f>
        <v>Denied, outside of dispute period</v>
      </c>
      <c r="H153" s="4" t="str">
        <f t="shared" si="2"/>
        <v/>
      </c>
      <c r="I153" s="6">
        <f>IF(F153="Approved",SUMIF([2]Recalc!A:A,D153,[2]Recalc!BX:BX),0)</f>
        <v>0</v>
      </c>
    </row>
    <row r="154" spans="1:9" x14ac:dyDescent="0.3">
      <c r="A154" s="5">
        <v>45949</v>
      </c>
      <c r="B154" s="4" t="s">
        <v>64</v>
      </c>
      <c r="C154" s="4"/>
      <c r="D154" s="4" t="s">
        <v>343</v>
      </c>
      <c r="E154" s="5">
        <v>45958</v>
      </c>
      <c r="F154" s="4" t="str">
        <f>IF(_xlfn.XLOOKUP(D154,[2]Recalc!A:A,[2]Recalc!A:A,"")=D154,"Approved","Denied")</f>
        <v>Denied</v>
      </c>
      <c r="G154" s="4" t="str">
        <f>IF(F154="Denied",_xlfn.XLOOKUP(D154,'[2]Denied Barcodes'!$A$2:$A$1048576,'[2]Denied Barcodes'!$B$2:$B$1048576,""),"")</f>
        <v>Denied, dimensions line up with vpod</v>
      </c>
      <c r="H154" s="4" t="str">
        <f t="shared" si="2"/>
        <v/>
      </c>
      <c r="I154" s="6">
        <f>IF(F154="Approved",SUMIF([2]Recalc!A:A,D154,[2]Recalc!BX:BX),0)</f>
        <v>0</v>
      </c>
    </row>
    <row r="155" spans="1:9" x14ac:dyDescent="0.3">
      <c r="A155" s="5">
        <v>45949</v>
      </c>
      <c r="B155" s="4" t="s">
        <v>64</v>
      </c>
      <c r="C155" s="4"/>
      <c r="D155" s="4" t="s">
        <v>344</v>
      </c>
      <c r="E155" s="5">
        <v>45958</v>
      </c>
      <c r="F155" s="4" t="str">
        <f>IF(_xlfn.XLOOKUP(D155,[2]Recalc!A:A,[2]Recalc!A:A,"")=D155,"Approved","Denied")</f>
        <v>Denied</v>
      </c>
      <c r="G155" s="4" t="str">
        <f>IF(F155="Denied",_xlfn.XLOOKUP(D155,'[2]Denied Barcodes'!$A$2:$A$1048576,'[2]Denied Barcodes'!$B$2:$B$1048576,""),"")</f>
        <v>Denied, dimensions line up with vpod and meet girth definition for AH</v>
      </c>
      <c r="H155" s="4" t="str">
        <f t="shared" si="2"/>
        <v/>
      </c>
      <c r="I155" s="6">
        <f>IF(F155="Approved",SUMIF([2]Recalc!A:A,D155,[2]Recalc!BX:BX),0)</f>
        <v>0</v>
      </c>
    </row>
    <row r="156" spans="1:9" x14ac:dyDescent="0.3">
      <c r="A156" s="5">
        <v>45949</v>
      </c>
      <c r="B156" s="4" t="s">
        <v>64</v>
      </c>
      <c r="C156" s="4"/>
      <c r="D156" s="4" t="s">
        <v>345</v>
      </c>
      <c r="E156" s="5">
        <v>45958</v>
      </c>
      <c r="F156" s="4" t="str">
        <f>IF(_xlfn.XLOOKUP(D156,[2]Recalc!A:A,[2]Recalc!A:A,"")=D156,"Approved","Denied")</f>
        <v>Denied</v>
      </c>
      <c r="G156" s="4" t="str">
        <f>IF(F156="Denied",_xlfn.XLOOKUP(D156,'[2]Denied Barcodes'!$A$2:$A$1048576,'[2]Denied Barcodes'!$B$2:$B$1048576,""),"")</f>
        <v>Denied, dimensions line up with vpod</v>
      </c>
      <c r="H156" s="4" t="str">
        <f t="shared" si="2"/>
        <v/>
      </c>
      <c r="I156" s="6">
        <f>IF(F156="Approved",SUMIF([2]Recalc!A:A,D156,[2]Recalc!BX:BX),0)</f>
        <v>0</v>
      </c>
    </row>
    <row r="157" spans="1:9" x14ac:dyDescent="0.3">
      <c r="A157" s="5">
        <v>45949</v>
      </c>
      <c r="B157" s="4" t="s">
        <v>64</v>
      </c>
      <c r="C157" s="4"/>
      <c r="D157" s="4" t="s">
        <v>346</v>
      </c>
      <c r="E157" s="5">
        <v>45958</v>
      </c>
      <c r="F157" s="4" t="str">
        <f>IF(_xlfn.XLOOKUP(D157,[2]Recalc!A:A,[2]Recalc!A:A,"")=D157,"Approved","Denied")</f>
        <v>Denied</v>
      </c>
      <c r="G157" s="4" t="str">
        <f>IF(F157="Denied",_xlfn.XLOOKUP(D157,'[2]Denied Barcodes'!$A$2:$A$1048576,'[2]Denied Barcodes'!$B$2:$B$1048576,""),"")</f>
        <v>Recalc-Check vpod for AH cust vs measured dims</v>
      </c>
      <c r="H157" s="4" t="str">
        <f t="shared" si="2"/>
        <v/>
      </c>
      <c r="I157" s="6">
        <f>IF(F157="Approved",SUMIF([2]Recalc!A:A,D157,[2]Recalc!BX:BX),0)</f>
        <v>0</v>
      </c>
    </row>
    <row r="158" spans="1:9" x14ac:dyDescent="0.3">
      <c r="A158" s="5">
        <v>45949</v>
      </c>
      <c r="B158" s="4" t="s">
        <v>64</v>
      </c>
      <c r="C158" s="4"/>
      <c r="D158" s="4" t="s">
        <v>347</v>
      </c>
      <c r="E158" s="5">
        <v>45958</v>
      </c>
      <c r="F158" s="4" t="str">
        <f>IF(_xlfn.XLOOKUP(D158,[2]Recalc!A:A,[2]Recalc!A:A,"")=D158,"Approved","Denied")</f>
        <v>Denied</v>
      </c>
      <c r="G158" s="4" t="str">
        <f>IF(F158="Denied",_xlfn.XLOOKUP(D158,'[2]Denied Barcodes'!$A$2:$A$1048576,'[2]Denied Barcodes'!$B$2:$B$1048576,""),"")</f>
        <v>Denied, outside of dispute period</v>
      </c>
      <c r="H158" s="4" t="str">
        <f t="shared" si="2"/>
        <v/>
      </c>
      <c r="I158" s="6">
        <f>IF(F158="Approved",SUMIF([2]Recalc!A:A,D158,[2]Recalc!BX:BX),0)</f>
        <v>0</v>
      </c>
    </row>
    <row r="159" spans="1:9" x14ac:dyDescent="0.3">
      <c r="A159" s="5">
        <v>45949</v>
      </c>
      <c r="B159" s="4" t="s">
        <v>55</v>
      </c>
      <c r="C159" s="4"/>
      <c r="D159" s="4" t="s">
        <v>348</v>
      </c>
      <c r="E159" s="5">
        <v>45958</v>
      </c>
      <c r="F159" s="4" t="str">
        <f>IF(_xlfn.XLOOKUP(D159,[2]Recalc!A:A,[2]Recalc!A:A,"")=D159,"Approved","Denied")</f>
        <v>Denied</v>
      </c>
      <c r="G159" s="4" t="str">
        <f>IF(F159="Denied",_xlfn.XLOOKUP(D159,'[2]Denied Barcodes'!$A$2:$A$1048576,'[2]Denied Barcodes'!$B$2:$B$1048576,""),"")</f>
        <v>Denied, outside of dispute period</v>
      </c>
      <c r="H159" s="4" t="str">
        <f t="shared" si="2"/>
        <v/>
      </c>
      <c r="I159" s="6">
        <f>IF(F159="Approved",SUMIF([2]Recalc!A:A,D159,[2]Recalc!BX:BX),0)</f>
        <v>0</v>
      </c>
    </row>
    <row r="160" spans="1:9" x14ac:dyDescent="0.3">
      <c r="A160" s="5">
        <v>45949</v>
      </c>
      <c r="B160" s="4" t="s">
        <v>55</v>
      </c>
      <c r="C160" s="4"/>
      <c r="D160" s="4" t="s">
        <v>349</v>
      </c>
      <c r="E160" s="5">
        <v>45958</v>
      </c>
      <c r="F160" s="4" t="str">
        <f>IF(_xlfn.XLOOKUP(D160,[2]Recalc!A:A,[2]Recalc!A:A,"")=D160,"Approved","Denied")</f>
        <v>Denied</v>
      </c>
      <c r="G160" s="4" t="str">
        <f>IF(F160="Denied",_xlfn.XLOOKUP(D160,'[2]Denied Barcodes'!$A$2:$A$1048576,'[2]Denied Barcodes'!$B$2:$B$1048576,""),"")</f>
        <v>Denied, outside of dispute period</v>
      </c>
      <c r="H160" s="4" t="str">
        <f t="shared" si="2"/>
        <v/>
      </c>
      <c r="I160" s="6">
        <f>IF(F160="Approved",SUMIF([2]Recalc!A:A,D160,[2]Recalc!BX:BX),0)</f>
        <v>0</v>
      </c>
    </row>
    <row r="161" spans="1:9" x14ac:dyDescent="0.3">
      <c r="A161" s="5">
        <v>45949</v>
      </c>
      <c r="B161" s="4" t="s">
        <v>64</v>
      </c>
      <c r="C161" s="4"/>
      <c r="D161" s="4" t="s">
        <v>350</v>
      </c>
      <c r="E161" s="5">
        <v>45958</v>
      </c>
      <c r="F161" s="4" t="str">
        <f>IF(_xlfn.XLOOKUP(D161,[2]Recalc!A:A,[2]Recalc!A:A,"")=D161,"Approved","Denied")</f>
        <v>Denied</v>
      </c>
      <c r="G161" s="4" t="str">
        <f>IF(F161="Denied",_xlfn.XLOOKUP(D161,'[2]Denied Barcodes'!$A$2:$A$1048576,'[2]Denied Barcodes'!$B$2:$B$1048576,""),"")</f>
        <v>Denied, dimensions line up with vpod</v>
      </c>
      <c r="H161" s="4" t="str">
        <f t="shared" si="2"/>
        <v/>
      </c>
      <c r="I161" s="6">
        <f>IF(F161="Approved",SUMIF([2]Recalc!A:A,D161,[2]Recalc!BX:BX),0)</f>
        <v>0</v>
      </c>
    </row>
    <row r="162" spans="1:9" x14ac:dyDescent="0.3">
      <c r="A162" s="5">
        <v>45949</v>
      </c>
      <c r="B162" s="4" t="s">
        <v>64</v>
      </c>
      <c r="C162" s="4"/>
      <c r="D162" s="4" t="s">
        <v>351</v>
      </c>
      <c r="E162" s="5">
        <v>45958</v>
      </c>
      <c r="F162" s="4" t="str">
        <f>IF(_xlfn.XLOOKUP(D162,[2]Recalc!A:A,[2]Recalc!A:A,"")=D162,"Approved","Denied")</f>
        <v>Denied</v>
      </c>
      <c r="G162" s="4" t="str">
        <f>IF(F162="Denied",_xlfn.XLOOKUP(D162,'[2]Denied Barcodes'!$A$2:$A$1048576,'[2]Denied Barcodes'!$B$2:$B$1048576,""),"")</f>
        <v>Denied, dimensions line up with vpod</v>
      </c>
      <c r="H162" s="4" t="str">
        <f t="shared" si="2"/>
        <v/>
      </c>
      <c r="I162" s="6">
        <f>IF(F162="Approved",SUMIF([2]Recalc!A:A,D162,[2]Recalc!BX:BX),0)</f>
        <v>0</v>
      </c>
    </row>
    <row r="163" spans="1:9" x14ac:dyDescent="0.3">
      <c r="A163" s="5">
        <v>45949</v>
      </c>
      <c r="B163" s="4" t="s">
        <v>64</v>
      </c>
      <c r="C163" s="4"/>
      <c r="D163" s="4" t="s">
        <v>352</v>
      </c>
      <c r="E163" s="5">
        <v>45958</v>
      </c>
      <c r="F163" s="4" t="str">
        <f>IF(_xlfn.XLOOKUP(D163,[2]Recalc!A:A,[2]Recalc!A:A,"")=D163,"Approved","Denied")</f>
        <v>Denied</v>
      </c>
      <c r="G163" s="4" t="str">
        <f>IF(F163="Denied",_xlfn.XLOOKUP(D163,'[2]Denied Barcodes'!$A$2:$A$1048576,'[2]Denied Barcodes'!$B$2:$B$1048576,""),"")</f>
        <v>Denied, dimensions line up with vpod</v>
      </c>
      <c r="H163" s="4" t="str">
        <f t="shared" si="2"/>
        <v/>
      </c>
      <c r="I163" s="6">
        <f>IF(F163="Approved",SUMIF([2]Recalc!A:A,D163,[2]Recalc!BX:BX),0)</f>
        <v>0</v>
      </c>
    </row>
    <row r="164" spans="1:9" x14ac:dyDescent="0.3">
      <c r="A164" s="5">
        <v>45949</v>
      </c>
      <c r="B164" s="4" t="s">
        <v>64</v>
      </c>
      <c r="C164" s="4"/>
      <c r="D164" s="4" t="s">
        <v>353</v>
      </c>
      <c r="E164" s="5">
        <v>45958</v>
      </c>
      <c r="F164" s="4" t="str">
        <f>IF(_xlfn.XLOOKUP(D164,[2]Recalc!A:A,[2]Recalc!A:A,"")=D164,"Approved","Denied")</f>
        <v>Denied</v>
      </c>
      <c r="G164" s="4" t="str">
        <f>IF(F164="Denied",_xlfn.XLOOKUP(D164,'[2]Denied Barcodes'!$A$2:$A$1048576,'[2]Denied Barcodes'!$B$2:$B$1048576,""),"")</f>
        <v>Denied, dimensions line up with vpod</v>
      </c>
      <c r="H164" s="4" t="str">
        <f t="shared" si="2"/>
        <v/>
      </c>
      <c r="I164" s="6">
        <f>IF(F164="Approved",SUMIF([2]Recalc!A:A,D164,[2]Recalc!BX:BX),0)</f>
        <v>0</v>
      </c>
    </row>
    <row r="165" spans="1:9" x14ac:dyDescent="0.3">
      <c r="A165" s="5">
        <v>45949</v>
      </c>
      <c r="B165" s="4" t="s">
        <v>64</v>
      </c>
      <c r="C165" s="4"/>
      <c r="D165" s="4" t="s">
        <v>354</v>
      </c>
      <c r="E165" s="5">
        <v>45958</v>
      </c>
      <c r="F165" s="4" t="str">
        <f>IF(_xlfn.XLOOKUP(D165,[2]Recalc!A:A,[2]Recalc!A:A,"")=D165,"Approved","Denied")</f>
        <v>Denied</v>
      </c>
      <c r="G165" s="4" t="str">
        <f>IF(F165="Denied",_xlfn.XLOOKUP(D165,'[2]Denied Barcodes'!$A$2:$A$1048576,'[2]Denied Barcodes'!$B$2:$B$1048576,""),"")</f>
        <v>Denied, dimensions line up with vpod</v>
      </c>
      <c r="H165" s="4" t="str">
        <f t="shared" si="2"/>
        <v/>
      </c>
      <c r="I165" s="6">
        <f>IF(F165="Approved",SUMIF([2]Recalc!A:A,D165,[2]Recalc!BX:BX),0)</f>
        <v>0</v>
      </c>
    </row>
    <row r="166" spans="1:9" x14ac:dyDescent="0.3">
      <c r="A166" s="5">
        <v>45949</v>
      </c>
      <c r="B166" s="4" t="s">
        <v>64</v>
      </c>
      <c r="C166" s="4"/>
      <c r="D166" s="4" t="s">
        <v>355</v>
      </c>
      <c r="E166" s="5">
        <v>45958</v>
      </c>
      <c r="F166" s="4" t="str">
        <f>IF(_xlfn.XLOOKUP(D166,[2]Recalc!A:A,[2]Recalc!A:A,"")=D166,"Approved","Denied")</f>
        <v>Denied</v>
      </c>
      <c r="G166" s="4" t="str">
        <f>IF(F166="Denied",_xlfn.XLOOKUP(D166,'[2]Denied Barcodes'!$A$2:$A$1048576,'[2]Denied Barcodes'!$B$2:$B$1048576,""),"")</f>
        <v>Denied, billed on customer dimensions</v>
      </c>
      <c r="H166" s="4" t="str">
        <f t="shared" si="2"/>
        <v/>
      </c>
      <c r="I166" s="6">
        <f>IF(F166="Approved",SUMIF([2]Recalc!A:A,D166,[2]Recalc!BX:BX),0)</f>
        <v>0</v>
      </c>
    </row>
    <row r="167" spans="1:9" x14ac:dyDescent="0.3">
      <c r="A167" s="5">
        <v>45949</v>
      </c>
      <c r="B167" s="4" t="s">
        <v>64</v>
      </c>
      <c r="C167" s="4"/>
      <c r="D167" s="4" t="s">
        <v>356</v>
      </c>
      <c r="E167" s="5">
        <v>45958</v>
      </c>
      <c r="F167" s="4" t="str">
        <f>IF(_xlfn.XLOOKUP(D167,[2]Recalc!A:A,[2]Recalc!A:A,"")=D167,"Approved","Denied")</f>
        <v>Denied</v>
      </c>
      <c r="G167" s="4" t="str">
        <f>IF(F167="Denied",_xlfn.XLOOKUP(D167,'[2]Denied Barcodes'!$A$2:$A$1048576,'[2]Denied Barcodes'!$B$2:$B$1048576,""),"")</f>
        <v>Denied, dimensions line up with vpod</v>
      </c>
      <c r="H167" s="4" t="str">
        <f t="shared" si="2"/>
        <v/>
      </c>
      <c r="I167" s="6">
        <f>IF(F167="Approved",SUMIF([2]Recalc!A:A,D167,[2]Recalc!BX:BX),0)</f>
        <v>0</v>
      </c>
    </row>
    <row r="168" spans="1:9" x14ac:dyDescent="0.3">
      <c r="A168" s="5">
        <v>45949</v>
      </c>
      <c r="B168" s="4" t="s">
        <v>64</v>
      </c>
      <c r="C168" s="4"/>
      <c r="D168" s="4" t="s">
        <v>357</v>
      </c>
      <c r="E168" s="5">
        <v>45958</v>
      </c>
      <c r="F168" s="4" t="str">
        <f>IF(_xlfn.XLOOKUP(D168,[2]Recalc!A:A,[2]Recalc!A:A,"")=D168,"Approved","Denied")</f>
        <v>Denied</v>
      </c>
      <c r="G168" s="4" t="str">
        <f>IF(F168="Denied",_xlfn.XLOOKUP(D168,'[2]Denied Barcodes'!$A$2:$A$1048576,'[2]Denied Barcodes'!$B$2:$B$1048576,""),"")</f>
        <v>Denied, dimensions line up with vpod</v>
      </c>
      <c r="H168" s="4" t="str">
        <f t="shared" si="2"/>
        <v/>
      </c>
      <c r="I168" s="6">
        <f>IF(F168="Approved",SUMIF([2]Recalc!A:A,D168,[2]Recalc!BX:BX),0)</f>
        <v>0</v>
      </c>
    </row>
    <row r="169" spans="1:9" x14ac:dyDescent="0.3">
      <c r="A169" s="5">
        <v>45949</v>
      </c>
      <c r="B169" s="4" t="s">
        <v>64</v>
      </c>
      <c r="C169" s="4"/>
      <c r="D169" s="4" t="s">
        <v>358</v>
      </c>
      <c r="E169" s="5">
        <v>45958</v>
      </c>
      <c r="F169" s="4" t="str">
        <f>IF(_xlfn.XLOOKUP(D169,[2]Recalc!A:A,[2]Recalc!A:A,"")=D169,"Approved","Denied")</f>
        <v>Denied</v>
      </c>
      <c r="G169" s="4" t="str">
        <f>IF(F169="Denied",_xlfn.XLOOKUP(D169,'[2]Denied Barcodes'!$A$2:$A$1048576,'[2]Denied Barcodes'!$B$2:$B$1048576,""),"")</f>
        <v>Denied, billed on customer dimensions</v>
      </c>
      <c r="H169" s="4" t="str">
        <f t="shared" si="2"/>
        <v/>
      </c>
      <c r="I169" s="6">
        <f>IF(F169="Approved",SUMIF([2]Recalc!A:A,D169,[2]Recalc!BX:BX),0)</f>
        <v>0</v>
      </c>
    </row>
    <row r="170" spans="1:9" x14ac:dyDescent="0.3">
      <c r="A170" s="5">
        <v>45949</v>
      </c>
      <c r="B170" s="4" t="s">
        <v>64</v>
      </c>
      <c r="C170" s="4"/>
      <c r="D170" s="4" t="s">
        <v>359</v>
      </c>
      <c r="E170" s="5">
        <v>45958</v>
      </c>
      <c r="F170" s="4" t="str">
        <f>IF(_xlfn.XLOOKUP(D170,[2]Recalc!A:A,[2]Recalc!A:A,"")=D170,"Approved","Denied")</f>
        <v>Denied</v>
      </c>
      <c r="G170" s="4" t="str">
        <f>IF(F170="Denied",_xlfn.XLOOKUP(D170,'[2]Denied Barcodes'!$A$2:$A$1048576,'[2]Denied Barcodes'!$B$2:$B$1048576,""),"")</f>
        <v>Denied, billed on customer dimensions</v>
      </c>
      <c r="H170" s="4" t="str">
        <f t="shared" si="2"/>
        <v/>
      </c>
      <c r="I170" s="6">
        <f>IF(F170="Approved",SUMIF([2]Recalc!A:A,D170,[2]Recalc!BX:BX),0)</f>
        <v>0</v>
      </c>
    </row>
    <row r="171" spans="1:9" x14ac:dyDescent="0.3">
      <c r="A171" s="5">
        <v>45949</v>
      </c>
      <c r="B171" s="4" t="s">
        <v>64</v>
      </c>
      <c r="C171" s="4"/>
      <c r="D171" s="4" t="s">
        <v>360</v>
      </c>
      <c r="E171" s="5">
        <v>45958</v>
      </c>
      <c r="F171" s="4" t="str">
        <f>IF(_xlfn.XLOOKUP(D171,[2]Recalc!A:A,[2]Recalc!A:A,"")=D171,"Approved","Denied")</f>
        <v>Denied</v>
      </c>
      <c r="G171" s="4" t="str">
        <f>IF(F171="Denied",_xlfn.XLOOKUP(D171,'[2]Denied Barcodes'!$A$2:$A$1048576,'[2]Denied Barcodes'!$B$2:$B$1048576,""),"")</f>
        <v>Denied, billed on customer dimensions</v>
      </c>
      <c r="H171" s="4" t="str">
        <f t="shared" si="2"/>
        <v/>
      </c>
      <c r="I171" s="6">
        <f>IF(F171="Approved",SUMIF([2]Recalc!A:A,D171,[2]Recalc!BX:BX),0)</f>
        <v>0</v>
      </c>
    </row>
    <row r="172" spans="1:9" x14ac:dyDescent="0.3">
      <c r="A172" s="5">
        <v>45949</v>
      </c>
      <c r="B172" s="4" t="s">
        <v>64</v>
      </c>
      <c r="C172" s="4"/>
      <c r="D172" s="4" t="s">
        <v>361</v>
      </c>
      <c r="E172" s="5">
        <v>45958</v>
      </c>
      <c r="F172" s="4" t="str">
        <f>IF(_xlfn.XLOOKUP(D172,[2]Recalc!A:A,[2]Recalc!A:A,"")=D172,"Approved","Denied")</f>
        <v>Denied</v>
      </c>
      <c r="G172" s="4" t="str">
        <f>IF(F172="Denied",_xlfn.XLOOKUP(D172,'[2]Denied Barcodes'!$A$2:$A$1048576,'[2]Denied Barcodes'!$B$2:$B$1048576,""),"")</f>
        <v>Denied, billed on customer dimensions</v>
      </c>
      <c r="H172" s="4" t="str">
        <f t="shared" si="2"/>
        <v/>
      </c>
      <c r="I172" s="6">
        <f>IF(F172="Approved",SUMIF([2]Recalc!A:A,D172,[2]Recalc!BX:BX),0)</f>
        <v>0</v>
      </c>
    </row>
    <row r="173" spans="1:9" x14ac:dyDescent="0.3">
      <c r="A173" s="5">
        <v>45949</v>
      </c>
      <c r="B173" s="4" t="s">
        <v>64</v>
      </c>
      <c r="C173" s="4"/>
      <c r="D173" s="4" t="s">
        <v>362</v>
      </c>
      <c r="E173" s="5">
        <v>45958</v>
      </c>
      <c r="F173" s="4" t="str">
        <f>IF(_xlfn.XLOOKUP(D173,[2]Recalc!A:A,[2]Recalc!A:A,"")=D173,"Approved","Denied")</f>
        <v>Denied</v>
      </c>
      <c r="G173" s="4" t="str">
        <f>IF(F173="Denied",_xlfn.XLOOKUP(D173,'[2]Denied Barcodes'!$A$2:$A$1048576,'[2]Denied Barcodes'!$B$2:$B$1048576,""),"")</f>
        <v>Denied, outside of dispute period</v>
      </c>
      <c r="H173" s="4" t="str">
        <f t="shared" si="2"/>
        <v/>
      </c>
      <c r="I173" s="6">
        <f>IF(F173="Approved",SUMIF([2]Recalc!A:A,D173,[2]Recalc!BX:BX),0)</f>
        <v>0</v>
      </c>
    </row>
    <row r="174" spans="1:9" x14ac:dyDescent="0.3">
      <c r="A174" s="5">
        <v>45949</v>
      </c>
      <c r="B174" s="4" t="s">
        <v>64</v>
      </c>
      <c r="C174" s="4"/>
      <c r="D174" s="4" t="s">
        <v>363</v>
      </c>
      <c r="E174" s="5">
        <v>45958</v>
      </c>
      <c r="F174" s="4" t="str">
        <f>IF(_xlfn.XLOOKUP(D174,[2]Recalc!A:A,[2]Recalc!A:A,"")=D174,"Approved","Denied")</f>
        <v>Denied</v>
      </c>
      <c r="G174" s="4" t="str">
        <f>IF(F174="Denied",_xlfn.XLOOKUP(D174,'[2]Denied Barcodes'!$A$2:$A$1048576,'[2]Denied Barcodes'!$B$2:$B$1048576,""),"")</f>
        <v>Denied, billed on customer dimensions</v>
      </c>
      <c r="H174" s="4" t="str">
        <f t="shared" si="2"/>
        <v/>
      </c>
      <c r="I174" s="6">
        <f>IF(F174="Approved",SUMIF([2]Recalc!A:A,D174,[2]Recalc!BX:BX),0)</f>
        <v>0</v>
      </c>
    </row>
    <row r="175" spans="1:9" x14ac:dyDescent="0.3">
      <c r="A175" s="5">
        <v>45949</v>
      </c>
      <c r="B175" s="4" t="s">
        <v>64</v>
      </c>
      <c r="C175" s="4"/>
      <c r="D175" s="4" t="s">
        <v>364</v>
      </c>
      <c r="E175" s="5">
        <v>45958</v>
      </c>
      <c r="F175" s="4" t="str">
        <f>IF(_xlfn.XLOOKUP(D175,[2]Recalc!A:A,[2]Recalc!A:A,"")=D175,"Approved","Denied")</f>
        <v>Denied</v>
      </c>
      <c r="G175" s="4" t="str">
        <f>IF(F175="Denied",_xlfn.XLOOKUP(D175,'[2]Denied Barcodes'!$A$2:$A$1048576,'[2]Denied Barcodes'!$B$2:$B$1048576,""),"")</f>
        <v>Denied, outside of dispute period</v>
      </c>
      <c r="H175" s="4" t="str">
        <f t="shared" si="2"/>
        <v/>
      </c>
      <c r="I175" s="6">
        <f>IF(F175="Approved",SUMIF([2]Recalc!A:A,D175,[2]Recalc!BX:BX),0)</f>
        <v>0</v>
      </c>
    </row>
    <row r="176" spans="1:9" x14ac:dyDescent="0.3">
      <c r="A176" s="5">
        <v>45949</v>
      </c>
      <c r="B176" s="4" t="s">
        <v>64</v>
      </c>
      <c r="C176" s="4"/>
      <c r="D176" s="4" t="s">
        <v>365</v>
      </c>
      <c r="E176" s="5">
        <v>45958</v>
      </c>
      <c r="F176" s="4" t="str">
        <f>IF(_xlfn.XLOOKUP(D176,[2]Recalc!A:A,[2]Recalc!A:A,"")=D176,"Approved","Denied")</f>
        <v>Denied</v>
      </c>
      <c r="G176" s="4" t="str">
        <f>IF(F176="Denied",_xlfn.XLOOKUP(D176,'[2]Denied Barcodes'!$A$2:$A$1048576,'[2]Denied Barcodes'!$B$2:$B$1048576,""),"")</f>
        <v>Denied, billed on customer dimensions</v>
      </c>
      <c r="H176" s="4" t="str">
        <f t="shared" si="2"/>
        <v/>
      </c>
      <c r="I176" s="6">
        <f>IF(F176="Approved",SUMIF([2]Recalc!A:A,D176,[2]Recalc!BX:BX),0)</f>
        <v>0</v>
      </c>
    </row>
    <row r="177" spans="1:9" x14ac:dyDescent="0.3">
      <c r="A177" s="5">
        <v>45949</v>
      </c>
      <c r="B177" s="4" t="s">
        <v>64</v>
      </c>
      <c r="C177" s="4"/>
      <c r="D177" s="4" t="s">
        <v>366</v>
      </c>
      <c r="E177" s="5">
        <v>45958</v>
      </c>
      <c r="F177" s="4" t="str">
        <f>IF(_xlfn.XLOOKUP(D177,[2]Recalc!A:A,[2]Recalc!A:A,"")=D177,"Approved","Denied")</f>
        <v>Denied</v>
      </c>
      <c r="G177" s="4" t="str">
        <f>IF(F177="Denied",_xlfn.XLOOKUP(D177,'[2]Denied Barcodes'!$A$2:$A$1048576,'[2]Denied Barcodes'!$B$2:$B$1048576,""),"")</f>
        <v>Denied, billed on customer dimensions</v>
      </c>
      <c r="H177" s="4" t="str">
        <f t="shared" si="2"/>
        <v/>
      </c>
      <c r="I177" s="6">
        <f>IF(F177="Approved",SUMIF([2]Recalc!A:A,D177,[2]Recalc!BX:BX),0)</f>
        <v>0</v>
      </c>
    </row>
    <row r="178" spans="1:9" x14ac:dyDescent="0.3">
      <c r="A178" s="5">
        <v>45949</v>
      </c>
      <c r="B178" s="4" t="s">
        <v>64</v>
      </c>
      <c r="C178" s="4"/>
      <c r="D178" s="4" t="s">
        <v>367</v>
      </c>
      <c r="E178" s="5">
        <v>45958</v>
      </c>
      <c r="F178" s="4" t="str">
        <f>IF(_xlfn.XLOOKUP(D178,[2]Recalc!A:A,[2]Recalc!A:A,"")=D178,"Approved","Denied")</f>
        <v>Denied</v>
      </c>
      <c r="G178" s="4" t="str">
        <f>IF(F178="Denied",_xlfn.XLOOKUP(D178,'[2]Denied Barcodes'!$A$2:$A$1048576,'[2]Denied Barcodes'!$B$2:$B$1048576,""),"")</f>
        <v>Denied, billed on customer dimensions</v>
      </c>
      <c r="H178" s="4" t="str">
        <f t="shared" si="2"/>
        <v/>
      </c>
      <c r="I178" s="6">
        <f>IF(F178="Approved",SUMIF([2]Recalc!A:A,D178,[2]Recalc!BX:BX),0)</f>
        <v>0</v>
      </c>
    </row>
    <row r="179" spans="1:9" x14ac:dyDescent="0.3">
      <c r="A179" s="5">
        <v>45949</v>
      </c>
      <c r="B179" s="4" t="s">
        <v>64</v>
      </c>
      <c r="C179" s="4"/>
      <c r="D179" s="4" t="s">
        <v>368</v>
      </c>
      <c r="E179" s="5">
        <v>45958</v>
      </c>
      <c r="F179" s="4" t="str">
        <f>IF(_xlfn.XLOOKUP(D179,[2]Recalc!A:A,[2]Recalc!A:A,"")=D179,"Approved","Denied")</f>
        <v>Denied</v>
      </c>
      <c r="G179" s="4" t="str">
        <f>IF(F179="Denied",_xlfn.XLOOKUP(D179,'[2]Denied Barcodes'!$A$2:$A$1048576,'[2]Denied Barcodes'!$B$2:$B$1048576,""),"")</f>
        <v>Denied, billed on customer dimensions</v>
      </c>
      <c r="H179" s="4" t="str">
        <f t="shared" si="2"/>
        <v/>
      </c>
      <c r="I179" s="6">
        <f>IF(F179="Approved",SUMIF([2]Recalc!A:A,D179,[2]Recalc!BX:BX),0)</f>
        <v>0</v>
      </c>
    </row>
    <row r="180" spans="1:9" x14ac:dyDescent="0.3">
      <c r="A180" s="5">
        <v>45949</v>
      </c>
      <c r="B180" s="4" t="s">
        <v>64</v>
      </c>
      <c r="C180" s="4"/>
      <c r="D180" s="4" t="s">
        <v>369</v>
      </c>
      <c r="E180" s="5">
        <v>45958</v>
      </c>
      <c r="F180" s="4" t="str">
        <f>IF(_xlfn.XLOOKUP(D180,[2]Recalc!A:A,[2]Recalc!A:A,"")=D180,"Approved","Denied")</f>
        <v>Denied</v>
      </c>
      <c r="G180" s="4" t="str">
        <f>IF(F180="Denied",_xlfn.XLOOKUP(D180,'[2]Denied Barcodes'!$A$2:$A$1048576,'[2]Denied Barcodes'!$B$2:$B$1048576,""),"")</f>
        <v>Denied, billed on customer dimensions</v>
      </c>
      <c r="H180" s="4" t="str">
        <f t="shared" si="2"/>
        <v/>
      </c>
      <c r="I180" s="6">
        <f>IF(F180="Approved",SUMIF([2]Recalc!A:A,D180,[2]Recalc!BX:BX),0)</f>
        <v>0</v>
      </c>
    </row>
    <row r="181" spans="1:9" x14ac:dyDescent="0.3">
      <c r="A181" s="5">
        <v>45949</v>
      </c>
      <c r="B181" s="4" t="s">
        <v>64</v>
      </c>
      <c r="C181" s="4"/>
      <c r="D181" s="4" t="s">
        <v>370</v>
      </c>
      <c r="E181" s="5">
        <v>45958</v>
      </c>
      <c r="F181" s="4" t="str">
        <f>IF(_xlfn.XLOOKUP(D181,[2]Recalc!A:A,[2]Recalc!A:A,"")=D181,"Approved","Denied")</f>
        <v>Denied</v>
      </c>
      <c r="G181" s="4" t="str">
        <f>IF(F181="Denied",_xlfn.XLOOKUP(D181,'[2]Denied Barcodes'!$A$2:$A$1048576,'[2]Denied Barcodes'!$B$2:$B$1048576,""),"")</f>
        <v>Denied, billed on customer dimensions</v>
      </c>
      <c r="H181" s="4" t="str">
        <f t="shared" si="2"/>
        <v/>
      </c>
      <c r="I181" s="6">
        <f>IF(F181="Approved",SUMIF([2]Recalc!A:A,D181,[2]Recalc!BX:BX),0)</f>
        <v>0</v>
      </c>
    </row>
    <row r="182" spans="1:9" x14ac:dyDescent="0.3">
      <c r="A182" s="5">
        <v>45949</v>
      </c>
      <c r="B182" s="4" t="s">
        <v>64</v>
      </c>
      <c r="C182" s="4"/>
      <c r="D182" s="4" t="s">
        <v>371</v>
      </c>
      <c r="E182" s="5">
        <v>45958</v>
      </c>
      <c r="F182" s="4" t="str">
        <f>IF(_xlfn.XLOOKUP(D182,[2]Recalc!A:A,[2]Recalc!A:A,"")=D182,"Approved","Denied")</f>
        <v>Denied</v>
      </c>
      <c r="G182" s="4" t="str">
        <f>IF(F182="Denied",_xlfn.XLOOKUP(D182,'[2]Denied Barcodes'!$A$2:$A$1048576,'[2]Denied Barcodes'!$B$2:$B$1048576,""),"")</f>
        <v>Denied, outside of dispute period</v>
      </c>
      <c r="H182" s="4" t="str">
        <f t="shared" si="2"/>
        <v/>
      </c>
      <c r="I182" s="6">
        <f>IF(F182="Approved",SUMIF([2]Recalc!A:A,D182,[2]Recalc!BX:BX),0)</f>
        <v>0</v>
      </c>
    </row>
    <row r="183" spans="1:9" x14ac:dyDescent="0.3">
      <c r="A183" s="5">
        <v>45949</v>
      </c>
      <c r="B183" s="4" t="s">
        <v>64</v>
      </c>
      <c r="C183" s="4"/>
      <c r="D183" s="4" t="s">
        <v>372</v>
      </c>
      <c r="E183" s="5">
        <v>45958</v>
      </c>
      <c r="F183" s="4" t="str">
        <f>IF(_xlfn.XLOOKUP(D183,[2]Recalc!A:A,[2]Recalc!A:A,"")=D183,"Approved","Denied")</f>
        <v>Denied</v>
      </c>
      <c r="G183" s="4" t="str">
        <f>IF(F183="Denied",_xlfn.XLOOKUP(D183,'[2]Denied Barcodes'!$A$2:$A$1048576,'[2]Denied Barcodes'!$B$2:$B$1048576,""),"")</f>
        <v>Denied, billed on customer dimensions</v>
      </c>
      <c r="H183" s="4" t="str">
        <f t="shared" si="2"/>
        <v/>
      </c>
      <c r="I183" s="6">
        <f>IF(F183="Approved",SUMIF([2]Recalc!A:A,D183,[2]Recalc!BX:BX),0)</f>
        <v>0</v>
      </c>
    </row>
    <row r="184" spans="1:9" x14ac:dyDescent="0.3">
      <c r="A184" s="5">
        <v>45949</v>
      </c>
      <c r="B184" s="4" t="s">
        <v>64</v>
      </c>
      <c r="C184" s="4"/>
      <c r="D184" s="4" t="s">
        <v>373</v>
      </c>
      <c r="E184" s="5">
        <v>45958</v>
      </c>
      <c r="F184" s="4" t="str">
        <f>IF(_xlfn.XLOOKUP(D184,[2]Recalc!A:A,[2]Recalc!A:A,"")=D184,"Approved","Denied")</f>
        <v>Denied</v>
      </c>
      <c r="G184" s="4" t="str">
        <f>IF(F184="Denied",_xlfn.XLOOKUP(D184,'[2]Denied Barcodes'!$A$2:$A$1048576,'[2]Denied Barcodes'!$B$2:$B$1048576,""),"")</f>
        <v>Denied, dimensions line up with vpod</v>
      </c>
      <c r="H184" s="4" t="str">
        <f t="shared" si="2"/>
        <v/>
      </c>
      <c r="I184" s="6">
        <f>IF(F184="Approved",SUMIF([2]Recalc!A:A,D184,[2]Recalc!BX:BX),0)</f>
        <v>0</v>
      </c>
    </row>
    <row r="185" spans="1:9" x14ac:dyDescent="0.3">
      <c r="A185" s="5">
        <v>45949</v>
      </c>
      <c r="B185" s="4" t="s">
        <v>64</v>
      </c>
      <c r="C185" s="4"/>
      <c r="D185" s="4" t="s">
        <v>374</v>
      </c>
      <c r="E185" s="5">
        <v>45958</v>
      </c>
      <c r="F185" s="4" t="str">
        <f>IF(_xlfn.XLOOKUP(D185,[2]Recalc!A:A,[2]Recalc!A:A,"")=D185,"Approved","Denied")</f>
        <v>Denied</v>
      </c>
      <c r="G185" s="4" t="str">
        <f>IF(F185="Denied",_xlfn.XLOOKUP(D185,'[2]Denied Barcodes'!$A$2:$A$1048576,'[2]Denied Barcodes'!$B$2:$B$1048576,""),"")</f>
        <v>Denied, customer dimensions meet girth definition for AH</v>
      </c>
      <c r="H185" s="4" t="str">
        <f t="shared" si="2"/>
        <v/>
      </c>
      <c r="I185" s="6">
        <f>IF(F185="Approved",SUMIF([2]Recalc!A:A,D185,[2]Recalc!BX:BX),0)</f>
        <v>0</v>
      </c>
    </row>
    <row r="186" spans="1:9" x14ac:dyDescent="0.3">
      <c r="A186" s="5">
        <v>45949</v>
      </c>
      <c r="B186" s="4" t="s">
        <v>64</v>
      </c>
      <c r="C186" s="4"/>
      <c r="D186" s="4" t="s">
        <v>375</v>
      </c>
      <c r="E186" s="5">
        <v>45958</v>
      </c>
      <c r="F186" s="4" t="str">
        <f>IF(_xlfn.XLOOKUP(D186,[2]Recalc!A:A,[2]Recalc!A:A,"")=D186,"Approved","Denied")</f>
        <v>Denied</v>
      </c>
      <c r="G186" s="4" t="str">
        <f>IF(F186="Denied",_xlfn.XLOOKUP(D186,'[2]Denied Barcodes'!$A$2:$A$1048576,'[2]Denied Barcodes'!$B$2:$B$1048576,""),"")</f>
        <v>Denied, dimensions line up with vpod</v>
      </c>
      <c r="H186" s="4" t="str">
        <f t="shared" si="2"/>
        <v/>
      </c>
      <c r="I186" s="6">
        <f>IF(F186="Approved",SUMIF([2]Recalc!A:A,D186,[2]Recalc!BX:BX),0)</f>
        <v>0</v>
      </c>
    </row>
    <row r="187" spans="1:9" x14ac:dyDescent="0.3">
      <c r="A187" s="5">
        <v>45949</v>
      </c>
      <c r="B187" s="4" t="s">
        <v>64</v>
      </c>
      <c r="C187" s="4"/>
      <c r="D187" s="4" t="s">
        <v>376</v>
      </c>
      <c r="E187" s="5">
        <v>45958</v>
      </c>
      <c r="F187" s="4" t="str">
        <f>IF(_xlfn.XLOOKUP(D187,[2]Recalc!A:A,[2]Recalc!A:A,"")=D187,"Approved","Denied")</f>
        <v>Denied</v>
      </c>
      <c r="G187" s="4" t="str">
        <f>IF(F187="Denied",_xlfn.XLOOKUP(D187,'[2]Denied Barcodes'!$A$2:$A$1048576,'[2]Denied Barcodes'!$B$2:$B$1048576,""),"")</f>
        <v>Denied, customer dimensions meet girth definition for AH</v>
      </c>
      <c r="H187" s="4" t="str">
        <f t="shared" si="2"/>
        <v/>
      </c>
      <c r="I187" s="6">
        <f>IF(F187="Approved",SUMIF([2]Recalc!A:A,D187,[2]Recalc!BX:BX),0)</f>
        <v>0</v>
      </c>
    </row>
    <row r="188" spans="1:9" x14ac:dyDescent="0.3">
      <c r="A188" s="5">
        <v>45949</v>
      </c>
      <c r="B188" s="4" t="s">
        <v>64</v>
      </c>
      <c r="C188" s="4"/>
      <c r="D188" s="4" t="s">
        <v>377</v>
      </c>
      <c r="E188" s="5">
        <v>45958</v>
      </c>
      <c r="F188" s="4" t="str">
        <f>IF(_xlfn.XLOOKUP(D188,[2]Recalc!A:A,[2]Recalc!A:A,"")=D188,"Approved","Denied")</f>
        <v>Denied</v>
      </c>
      <c r="G188" s="4" t="str">
        <f>IF(F188="Denied",_xlfn.XLOOKUP(D188,'[2]Denied Barcodes'!$A$2:$A$1048576,'[2]Denied Barcodes'!$B$2:$B$1048576,""),"")</f>
        <v>Denied, billed on customer dimensions</v>
      </c>
      <c r="H188" s="4" t="str">
        <f t="shared" si="2"/>
        <v/>
      </c>
      <c r="I188" s="6">
        <f>IF(F188="Approved",SUMIF([2]Recalc!A:A,D188,[2]Recalc!BX:BX),0)</f>
        <v>0</v>
      </c>
    </row>
    <row r="189" spans="1:9" x14ac:dyDescent="0.3">
      <c r="A189" s="5">
        <v>45949</v>
      </c>
      <c r="B189" s="4" t="s">
        <v>64</v>
      </c>
      <c r="C189" s="4"/>
      <c r="D189" s="4" t="s">
        <v>378</v>
      </c>
      <c r="E189" s="5">
        <v>45958</v>
      </c>
      <c r="F189" s="4" t="str">
        <f>IF(_xlfn.XLOOKUP(D189,[2]Recalc!A:A,[2]Recalc!A:A,"")=D189,"Approved","Denied")</f>
        <v>Denied</v>
      </c>
      <c r="G189" s="4" t="str">
        <f>IF(F189="Denied",_xlfn.XLOOKUP(D189,'[2]Denied Barcodes'!$A$2:$A$1048576,'[2]Denied Barcodes'!$B$2:$B$1048576,""),"")</f>
        <v>Denied, billed on customer dimensions</v>
      </c>
      <c r="H189" s="4" t="str">
        <f t="shared" si="2"/>
        <v/>
      </c>
      <c r="I189" s="6">
        <f>IF(F189="Approved",SUMIF([2]Recalc!A:A,D189,[2]Recalc!BX:BX),0)</f>
        <v>0</v>
      </c>
    </row>
    <row r="190" spans="1:9" x14ac:dyDescent="0.3">
      <c r="A190" s="5">
        <v>45949</v>
      </c>
      <c r="B190" s="4" t="s">
        <v>64</v>
      </c>
      <c r="C190" s="4"/>
      <c r="D190" s="4" t="s">
        <v>379</v>
      </c>
      <c r="E190" s="5">
        <v>45958</v>
      </c>
      <c r="F190" s="4" t="str">
        <f>IF(_xlfn.XLOOKUP(D190,[2]Recalc!A:A,[2]Recalc!A:A,"")=D190,"Approved","Denied")</f>
        <v>Denied</v>
      </c>
      <c r="G190" s="4" t="str">
        <f>IF(F190="Denied",_xlfn.XLOOKUP(D190,'[2]Denied Barcodes'!$A$2:$A$1048576,'[2]Denied Barcodes'!$B$2:$B$1048576,""),"")</f>
        <v>Denied, dimensions line up with vpod</v>
      </c>
      <c r="H190" s="4" t="str">
        <f t="shared" si="2"/>
        <v/>
      </c>
      <c r="I190" s="6">
        <f>IF(F190="Approved",SUMIF([2]Recalc!A:A,D190,[2]Recalc!BX:BX),0)</f>
        <v>0</v>
      </c>
    </row>
    <row r="191" spans="1:9" x14ac:dyDescent="0.3">
      <c r="A191" s="5">
        <v>45949</v>
      </c>
      <c r="B191" s="4" t="s">
        <v>64</v>
      </c>
      <c r="C191" s="4"/>
      <c r="D191" s="4" t="s">
        <v>380</v>
      </c>
      <c r="E191" s="5">
        <v>45958</v>
      </c>
      <c r="F191" s="4" t="str">
        <f>IF(_xlfn.XLOOKUP(D191,[2]Recalc!A:A,[2]Recalc!A:A,"")=D191,"Approved","Denied")</f>
        <v>Denied</v>
      </c>
      <c r="G191" s="4" t="str">
        <f>IF(F191="Denied",_xlfn.XLOOKUP(D191,'[2]Denied Barcodes'!$A$2:$A$1048576,'[2]Denied Barcodes'!$B$2:$B$1048576,""),"")</f>
        <v>Denied, outside of dispute period</v>
      </c>
      <c r="H191" s="4" t="str">
        <f t="shared" si="2"/>
        <v/>
      </c>
      <c r="I191" s="6">
        <f>IF(F191="Approved",SUMIF([2]Recalc!A:A,D191,[2]Recalc!BX:BX),0)</f>
        <v>0</v>
      </c>
    </row>
    <row r="192" spans="1:9" x14ac:dyDescent="0.3">
      <c r="A192" s="5">
        <v>45949</v>
      </c>
      <c r="B192" s="4" t="s">
        <v>64</v>
      </c>
      <c r="C192" s="4"/>
      <c r="D192" s="4" t="s">
        <v>381</v>
      </c>
      <c r="E192" s="5">
        <v>45958</v>
      </c>
      <c r="F192" s="4" t="str">
        <f>IF(_xlfn.XLOOKUP(D192,[2]Recalc!A:A,[2]Recalc!A:A,"")=D192,"Approved","Denied")</f>
        <v>Denied</v>
      </c>
      <c r="G192" s="4" t="str">
        <f>IF(F192="Denied",_xlfn.XLOOKUP(D192,'[2]Denied Barcodes'!$A$2:$A$1048576,'[2]Denied Barcodes'!$B$2:$B$1048576,""),"")</f>
        <v>Denied, dimensions line up with vpod</v>
      </c>
      <c r="H192" s="4" t="str">
        <f t="shared" si="2"/>
        <v/>
      </c>
      <c r="I192" s="6">
        <f>IF(F192="Approved",SUMIF([2]Recalc!A:A,D192,[2]Recalc!BX:BX),0)</f>
        <v>0</v>
      </c>
    </row>
    <row r="193" spans="1:9" x14ac:dyDescent="0.3">
      <c r="A193" s="5">
        <v>45949</v>
      </c>
      <c r="B193" s="4" t="s">
        <v>64</v>
      </c>
      <c r="C193" s="4"/>
      <c r="D193" s="4" t="s">
        <v>382</v>
      </c>
      <c r="E193" s="5">
        <v>45958</v>
      </c>
      <c r="F193" s="4" t="str">
        <f>IF(_xlfn.XLOOKUP(D193,[2]Recalc!A:A,[2]Recalc!A:A,"")=D193,"Approved","Denied")</f>
        <v>Denied</v>
      </c>
      <c r="G193" s="4" t="str">
        <f>IF(F193="Denied",_xlfn.XLOOKUP(D193,'[2]Denied Barcodes'!$A$2:$A$1048576,'[2]Denied Barcodes'!$B$2:$B$1048576,""),"")</f>
        <v>Denied, billed on customer dimensions</v>
      </c>
      <c r="H193" s="4" t="str">
        <f t="shared" si="2"/>
        <v/>
      </c>
      <c r="I193" s="6">
        <f>IF(F193="Approved",SUMIF([2]Recalc!A:A,D193,[2]Recalc!BX:BX),0)</f>
        <v>0</v>
      </c>
    </row>
    <row r="194" spans="1:9" x14ac:dyDescent="0.3">
      <c r="A194" s="5">
        <v>45949</v>
      </c>
      <c r="B194" s="4" t="s">
        <v>64</v>
      </c>
      <c r="C194" s="4"/>
      <c r="D194" s="4" t="s">
        <v>383</v>
      </c>
      <c r="E194" s="5">
        <v>45958</v>
      </c>
      <c r="F194" s="4" t="str">
        <f>IF(_xlfn.XLOOKUP(D194,[2]Recalc!A:A,[2]Recalc!A:A,"")=D194,"Approved","Denied")</f>
        <v>Denied</v>
      </c>
      <c r="G194" s="4" t="str">
        <f>IF(F194="Denied",_xlfn.XLOOKUP(D194,'[2]Denied Barcodes'!$A$2:$A$1048576,'[2]Denied Barcodes'!$B$2:$B$1048576,""),"")</f>
        <v>Denied, billed on customer dimensions</v>
      </c>
      <c r="H194" s="4" t="str">
        <f t="shared" ref="H194:H257" si="3">IF(I194&lt;0,"Credit",IF(I194&gt;0,"Debit",""))</f>
        <v/>
      </c>
      <c r="I194" s="6">
        <f>IF(F194="Approved",SUMIF([2]Recalc!A:A,D194,[2]Recalc!BX:BX),0)</f>
        <v>0</v>
      </c>
    </row>
    <row r="195" spans="1:9" x14ac:dyDescent="0.3">
      <c r="A195" s="5">
        <v>45949</v>
      </c>
      <c r="B195" s="4" t="s">
        <v>64</v>
      </c>
      <c r="C195" s="4"/>
      <c r="D195" s="4" t="s">
        <v>384</v>
      </c>
      <c r="E195" s="5">
        <v>45958</v>
      </c>
      <c r="F195" s="4" t="str">
        <f>IF(_xlfn.XLOOKUP(D195,[2]Recalc!A:A,[2]Recalc!A:A,"")=D195,"Approved","Denied")</f>
        <v>Denied</v>
      </c>
      <c r="G195" s="4" t="str">
        <f>IF(F195="Denied",_xlfn.XLOOKUP(D195,'[2]Denied Barcodes'!$A$2:$A$1048576,'[2]Denied Barcodes'!$B$2:$B$1048576,""),"")</f>
        <v>Denied, billed on customer dimensions</v>
      </c>
      <c r="H195" s="4" t="str">
        <f t="shared" si="3"/>
        <v/>
      </c>
      <c r="I195" s="6">
        <f>IF(F195="Approved",SUMIF([2]Recalc!A:A,D195,[2]Recalc!BX:BX),0)</f>
        <v>0</v>
      </c>
    </row>
    <row r="196" spans="1:9" x14ac:dyDescent="0.3">
      <c r="A196" s="5">
        <v>45949</v>
      </c>
      <c r="B196" s="4" t="s">
        <v>64</v>
      </c>
      <c r="C196" s="4"/>
      <c r="D196" s="4" t="s">
        <v>385</v>
      </c>
      <c r="E196" s="5">
        <v>45958</v>
      </c>
      <c r="F196" s="4" t="str">
        <f>IF(_xlfn.XLOOKUP(D196,[2]Recalc!A:A,[2]Recalc!A:A,"")=D196,"Approved","Denied")</f>
        <v>Denied</v>
      </c>
      <c r="G196" s="4" t="str">
        <f>IF(F196="Denied",_xlfn.XLOOKUP(D196,'[2]Denied Barcodes'!$A$2:$A$1048576,'[2]Denied Barcodes'!$B$2:$B$1048576,""),"")</f>
        <v>Denied, billed on customer dimensions</v>
      </c>
      <c r="H196" s="4" t="str">
        <f t="shared" si="3"/>
        <v/>
      </c>
      <c r="I196" s="6">
        <f>IF(F196="Approved",SUMIF([2]Recalc!A:A,D196,[2]Recalc!BX:BX),0)</f>
        <v>0</v>
      </c>
    </row>
    <row r="197" spans="1:9" x14ac:dyDescent="0.3">
      <c r="A197" s="5">
        <v>45949</v>
      </c>
      <c r="B197" s="4" t="s">
        <v>64</v>
      </c>
      <c r="C197" s="4"/>
      <c r="D197" s="4" t="s">
        <v>386</v>
      </c>
      <c r="E197" s="5">
        <v>45958</v>
      </c>
      <c r="F197" s="4" t="str">
        <f>IF(_xlfn.XLOOKUP(D197,[2]Recalc!A:A,[2]Recalc!A:A,"")=D197,"Approved","Denied")</f>
        <v>Denied</v>
      </c>
      <c r="G197" s="4" t="str">
        <f>IF(F197="Denied",_xlfn.XLOOKUP(D197,'[2]Denied Barcodes'!$A$2:$A$1048576,'[2]Denied Barcodes'!$B$2:$B$1048576,""),"")</f>
        <v>Denied, customer dimensions meet girth definition for AH</v>
      </c>
      <c r="H197" s="4" t="str">
        <f t="shared" si="3"/>
        <v/>
      </c>
      <c r="I197" s="6">
        <f>IF(F197="Approved",SUMIF([2]Recalc!A:A,D197,[2]Recalc!BX:BX),0)</f>
        <v>0</v>
      </c>
    </row>
    <row r="198" spans="1:9" x14ac:dyDescent="0.3">
      <c r="A198" s="5">
        <v>45949</v>
      </c>
      <c r="B198" s="4" t="s">
        <v>64</v>
      </c>
      <c r="C198" s="4"/>
      <c r="D198" s="4" t="s">
        <v>387</v>
      </c>
      <c r="E198" s="5">
        <v>45958</v>
      </c>
      <c r="F198" s="4" t="str">
        <f>IF(_xlfn.XLOOKUP(D198,[2]Recalc!A:A,[2]Recalc!A:A,"")=D198,"Approved","Denied")</f>
        <v>Denied</v>
      </c>
      <c r="G198" s="4" t="str">
        <f>IF(F198="Denied",_xlfn.XLOOKUP(D198,'[2]Denied Barcodes'!$A$2:$A$1048576,'[2]Denied Barcodes'!$B$2:$B$1048576,""),"")</f>
        <v>Denied, billed on customer dimensions</v>
      </c>
      <c r="H198" s="4" t="str">
        <f t="shared" si="3"/>
        <v/>
      </c>
      <c r="I198" s="6">
        <f>IF(F198="Approved",SUMIF([2]Recalc!A:A,D198,[2]Recalc!BX:BX),0)</f>
        <v>0</v>
      </c>
    </row>
    <row r="199" spans="1:9" x14ac:dyDescent="0.3">
      <c r="A199" s="5">
        <v>45949</v>
      </c>
      <c r="B199" s="4" t="s">
        <v>64</v>
      </c>
      <c r="C199" s="4"/>
      <c r="D199" s="4" t="s">
        <v>388</v>
      </c>
      <c r="E199" s="5">
        <v>45958</v>
      </c>
      <c r="F199" s="4" t="str">
        <f>IF(_xlfn.XLOOKUP(D199,[2]Recalc!A:A,[2]Recalc!A:A,"")=D199,"Approved","Denied")</f>
        <v>Denied</v>
      </c>
      <c r="G199" s="4" t="str">
        <f>IF(F199="Denied",_xlfn.XLOOKUP(D199,'[2]Denied Barcodes'!$A$2:$A$1048576,'[2]Denied Barcodes'!$B$2:$B$1048576,""),"")</f>
        <v>Denied, dimensions line up with vpod</v>
      </c>
      <c r="H199" s="4" t="str">
        <f t="shared" si="3"/>
        <v/>
      </c>
      <c r="I199" s="6">
        <f>IF(F199="Approved",SUMIF([2]Recalc!A:A,D199,[2]Recalc!BX:BX),0)</f>
        <v>0</v>
      </c>
    </row>
    <row r="200" spans="1:9" x14ac:dyDescent="0.3">
      <c r="A200" s="5">
        <v>45949</v>
      </c>
      <c r="B200" s="4" t="s">
        <v>64</v>
      </c>
      <c r="C200" s="4"/>
      <c r="D200" s="4" t="s">
        <v>389</v>
      </c>
      <c r="E200" s="5">
        <v>45958</v>
      </c>
      <c r="F200" s="4" t="str">
        <f>IF(_xlfn.XLOOKUP(D200,[2]Recalc!A:A,[2]Recalc!A:A,"")=D200,"Approved","Denied")</f>
        <v>Denied</v>
      </c>
      <c r="G200" s="4" t="str">
        <f>IF(F200="Denied",_xlfn.XLOOKUP(D200,'[2]Denied Barcodes'!$A$2:$A$1048576,'[2]Denied Barcodes'!$B$2:$B$1048576,""),"")</f>
        <v>Denied, billed on customer dimensions</v>
      </c>
      <c r="H200" s="4" t="str">
        <f t="shared" si="3"/>
        <v/>
      </c>
      <c r="I200" s="6">
        <f>IF(F200="Approved",SUMIF([2]Recalc!A:A,D200,[2]Recalc!BX:BX),0)</f>
        <v>0</v>
      </c>
    </row>
    <row r="201" spans="1:9" x14ac:dyDescent="0.3">
      <c r="A201" s="5">
        <v>45949</v>
      </c>
      <c r="B201" s="4" t="s">
        <v>64</v>
      </c>
      <c r="C201" s="4"/>
      <c r="D201" s="4" t="s">
        <v>390</v>
      </c>
      <c r="E201" s="5">
        <v>45958</v>
      </c>
      <c r="F201" s="4" t="str">
        <f>IF(_xlfn.XLOOKUP(D201,[2]Recalc!A:A,[2]Recalc!A:A,"")=D201,"Approved","Denied")</f>
        <v>Denied</v>
      </c>
      <c r="G201" s="4" t="str">
        <f>IF(F201="Denied",_xlfn.XLOOKUP(D201,'[2]Denied Barcodes'!$A$2:$A$1048576,'[2]Denied Barcodes'!$B$2:$B$1048576,""),"")</f>
        <v>Denied, billed on customer dimensions</v>
      </c>
      <c r="H201" s="4" t="str">
        <f t="shared" si="3"/>
        <v/>
      </c>
      <c r="I201" s="6">
        <f>IF(F201="Approved",SUMIF([2]Recalc!A:A,D201,[2]Recalc!BX:BX),0)</f>
        <v>0</v>
      </c>
    </row>
    <row r="202" spans="1:9" x14ac:dyDescent="0.3">
      <c r="A202" s="5">
        <v>45949</v>
      </c>
      <c r="B202" s="4" t="s">
        <v>64</v>
      </c>
      <c r="C202" s="4"/>
      <c r="D202" s="4" t="s">
        <v>391</v>
      </c>
      <c r="E202" s="5">
        <v>45958</v>
      </c>
      <c r="F202" s="4" t="str">
        <f>IF(_xlfn.XLOOKUP(D202,[2]Recalc!A:A,[2]Recalc!A:A,"")=D202,"Approved","Denied")</f>
        <v>Denied</v>
      </c>
      <c r="G202" s="4" t="str">
        <f>IF(F202="Denied",_xlfn.XLOOKUP(D202,'[2]Denied Barcodes'!$A$2:$A$1048576,'[2]Denied Barcodes'!$B$2:$B$1048576,""),"")</f>
        <v>Denied, customer dimensions meet girth definition for AH</v>
      </c>
      <c r="H202" s="4" t="str">
        <f t="shared" si="3"/>
        <v/>
      </c>
      <c r="I202" s="6">
        <f>IF(F202="Approved",SUMIF([2]Recalc!A:A,D202,[2]Recalc!BX:BX),0)</f>
        <v>0</v>
      </c>
    </row>
    <row r="203" spans="1:9" x14ac:dyDescent="0.3">
      <c r="A203" s="5">
        <v>45949</v>
      </c>
      <c r="B203" s="4" t="s">
        <v>64</v>
      </c>
      <c r="C203" s="4"/>
      <c r="D203" s="4" t="s">
        <v>392</v>
      </c>
      <c r="E203" s="5">
        <v>45958</v>
      </c>
      <c r="F203" s="4" t="str">
        <f>IF(_xlfn.XLOOKUP(D203,[2]Recalc!A:A,[2]Recalc!A:A,"")=D203,"Approved","Denied")</f>
        <v>Denied</v>
      </c>
      <c r="G203" s="4" t="str">
        <f>IF(F203="Denied",_xlfn.XLOOKUP(D203,'[2]Denied Barcodes'!$A$2:$A$1048576,'[2]Denied Barcodes'!$B$2:$B$1048576,""),"")</f>
        <v>Denied, dimensions line up with vpod</v>
      </c>
      <c r="H203" s="4" t="str">
        <f t="shared" si="3"/>
        <v/>
      </c>
      <c r="I203" s="6">
        <f>IF(F203="Approved",SUMIF([2]Recalc!A:A,D203,[2]Recalc!BX:BX),0)</f>
        <v>0</v>
      </c>
    </row>
    <row r="204" spans="1:9" x14ac:dyDescent="0.3">
      <c r="A204" s="5">
        <v>45949</v>
      </c>
      <c r="B204" s="4" t="s">
        <v>64</v>
      </c>
      <c r="C204" s="4"/>
      <c r="D204" s="4" t="s">
        <v>393</v>
      </c>
      <c r="E204" s="5">
        <v>45958</v>
      </c>
      <c r="F204" s="4" t="str">
        <f>IF(_xlfn.XLOOKUP(D204,[2]Recalc!A:A,[2]Recalc!A:A,"")=D204,"Approved","Denied")</f>
        <v>Denied</v>
      </c>
      <c r="G204" s="4" t="str">
        <f>IF(F204="Denied",_xlfn.XLOOKUP(D204,'[2]Denied Barcodes'!$A$2:$A$1048576,'[2]Denied Barcodes'!$B$2:$B$1048576,""),"")</f>
        <v>Denied, dimensions line up with vpod</v>
      </c>
      <c r="H204" s="4" t="str">
        <f t="shared" si="3"/>
        <v/>
      </c>
      <c r="I204" s="6">
        <f>IF(F204="Approved",SUMIF([2]Recalc!A:A,D204,[2]Recalc!BX:BX),0)</f>
        <v>0</v>
      </c>
    </row>
    <row r="205" spans="1:9" x14ac:dyDescent="0.3">
      <c r="A205" s="5">
        <v>45949</v>
      </c>
      <c r="B205" s="4" t="s">
        <v>64</v>
      </c>
      <c r="C205" s="4"/>
      <c r="D205" s="4" t="s">
        <v>394</v>
      </c>
      <c r="E205" s="5">
        <v>45958</v>
      </c>
      <c r="F205" s="4" t="str">
        <f>IF(_xlfn.XLOOKUP(D205,[2]Recalc!A:A,[2]Recalc!A:A,"")=D205,"Approved","Denied")</f>
        <v>Denied</v>
      </c>
      <c r="G205" s="4" t="str">
        <f>IF(F205="Denied",_xlfn.XLOOKUP(D205,'[2]Denied Barcodes'!$A$2:$A$1048576,'[2]Denied Barcodes'!$B$2:$B$1048576,""),"")</f>
        <v>Denied, outside of dispute period</v>
      </c>
      <c r="H205" s="4" t="str">
        <f t="shared" si="3"/>
        <v/>
      </c>
      <c r="I205" s="6">
        <f>IF(F205="Approved",SUMIF([2]Recalc!A:A,D205,[2]Recalc!BX:BX),0)</f>
        <v>0</v>
      </c>
    </row>
    <row r="206" spans="1:9" x14ac:dyDescent="0.3">
      <c r="A206" s="5">
        <v>45949</v>
      </c>
      <c r="B206" s="4" t="s">
        <v>64</v>
      </c>
      <c r="C206" s="4"/>
      <c r="D206" s="4" t="s">
        <v>395</v>
      </c>
      <c r="E206" s="5">
        <v>45958</v>
      </c>
      <c r="F206" s="4" t="str">
        <f>IF(_xlfn.XLOOKUP(D206,[2]Recalc!A:A,[2]Recalc!A:A,"")=D206,"Approved","Denied")</f>
        <v>Denied</v>
      </c>
      <c r="G206" s="4" t="str">
        <f>IF(F206="Denied",_xlfn.XLOOKUP(D206,'[2]Denied Barcodes'!$A$2:$A$1048576,'[2]Denied Barcodes'!$B$2:$B$1048576,""),"")</f>
        <v>Denied, billed on customer dimensions</v>
      </c>
      <c r="H206" s="4" t="str">
        <f t="shared" si="3"/>
        <v/>
      </c>
      <c r="I206" s="6">
        <f>IF(F206="Approved",SUMIF([2]Recalc!A:A,D206,[2]Recalc!BX:BX),0)</f>
        <v>0</v>
      </c>
    </row>
    <row r="207" spans="1:9" x14ac:dyDescent="0.3">
      <c r="A207" s="5">
        <v>45949</v>
      </c>
      <c r="B207" s="4" t="s">
        <v>64</v>
      </c>
      <c r="C207" s="4"/>
      <c r="D207" s="4" t="s">
        <v>396</v>
      </c>
      <c r="E207" s="5">
        <v>45958</v>
      </c>
      <c r="F207" s="4" t="str">
        <f>IF(_xlfn.XLOOKUP(D207,[2]Recalc!A:A,[2]Recalc!A:A,"")=D207,"Approved","Denied")</f>
        <v>Denied</v>
      </c>
      <c r="G207" s="4" t="str">
        <f>IF(F207="Denied",_xlfn.XLOOKUP(D207,'[2]Denied Barcodes'!$A$2:$A$1048576,'[2]Denied Barcodes'!$B$2:$B$1048576,""),"")</f>
        <v>Denied, dimensions line up with vpod</v>
      </c>
      <c r="H207" s="4" t="str">
        <f t="shared" si="3"/>
        <v/>
      </c>
      <c r="I207" s="6">
        <f>IF(F207="Approved",SUMIF([2]Recalc!A:A,D207,[2]Recalc!BX:BX),0)</f>
        <v>0</v>
      </c>
    </row>
    <row r="208" spans="1:9" x14ac:dyDescent="0.3">
      <c r="A208" s="5">
        <v>45949</v>
      </c>
      <c r="B208" s="4" t="s">
        <v>64</v>
      </c>
      <c r="C208" s="4"/>
      <c r="D208" s="4" t="s">
        <v>397</v>
      </c>
      <c r="E208" s="5">
        <v>45958</v>
      </c>
      <c r="F208" s="4" t="str">
        <f>IF(_xlfn.XLOOKUP(D208,[2]Recalc!A:A,[2]Recalc!A:A,"")=D208,"Approved","Denied")</f>
        <v>Denied</v>
      </c>
      <c r="G208" s="4" t="str">
        <f>IF(F208="Denied",_xlfn.XLOOKUP(D208,'[2]Denied Barcodes'!$A$2:$A$1048576,'[2]Denied Barcodes'!$B$2:$B$1048576,""),"")</f>
        <v>Denied, billed on customer dimensions</v>
      </c>
      <c r="H208" s="4" t="str">
        <f t="shared" si="3"/>
        <v/>
      </c>
      <c r="I208" s="6">
        <f>IF(F208="Approved",SUMIF([2]Recalc!A:A,D208,[2]Recalc!BX:BX),0)</f>
        <v>0</v>
      </c>
    </row>
    <row r="209" spans="1:9" x14ac:dyDescent="0.3">
      <c r="A209" s="5">
        <v>45949</v>
      </c>
      <c r="B209" s="4" t="s">
        <v>64</v>
      </c>
      <c r="C209" s="4"/>
      <c r="D209" s="4" t="s">
        <v>398</v>
      </c>
      <c r="E209" s="5">
        <v>45958</v>
      </c>
      <c r="F209" s="4" t="str">
        <f>IF(_xlfn.XLOOKUP(D209,[2]Recalc!A:A,[2]Recalc!A:A,"")=D209,"Approved","Denied")</f>
        <v>Denied</v>
      </c>
      <c r="G209" s="4" t="str">
        <f>IF(F209="Denied",_xlfn.XLOOKUP(D209,'[2]Denied Barcodes'!$A$2:$A$1048576,'[2]Denied Barcodes'!$B$2:$B$1048576,""),"")</f>
        <v>Denied, outside of dispute period</v>
      </c>
      <c r="H209" s="4" t="str">
        <f t="shared" si="3"/>
        <v/>
      </c>
      <c r="I209" s="6">
        <f>IF(F209="Approved",SUMIF([2]Recalc!A:A,D209,[2]Recalc!BX:BX),0)</f>
        <v>0</v>
      </c>
    </row>
    <row r="210" spans="1:9" x14ac:dyDescent="0.3">
      <c r="A210" s="5">
        <v>45949</v>
      </c>
      <c r="B210" s="4" t="s">
        <v>64</v>
      </c>
      <c r="C210" s="4"/>
      <c r="D210" s="4" t="s">
        <v>399</v>
      </c>
      <c r="E210" s="5">
        <v>45958</v>
      </c>
      <c r="F210" s="4" t="str">
        <f>IF(_xlfn.XLOOKUP(D210,[2]Recalc!A:A,[2]Recalc!A:A,"")=D210,"Approved","Denied")</f>
        <v>Denied</v>
      </c>
      <c r="G210" s="4" t="str">
        <f>IF(F210="Denied",_xlfn.XLOOKUP(D210,'[2]Denied Barcodes'!$A$2:$A$1048576,'[2]Denied Barcodes'!$B$2:$B$1048576,""),"")</f>
        <v>Denied, dimensions line up with vpod</v>
      </c>
      <c r="H210" s="4" t="str">
        <f t="shared" si="3"/>
        <v/>
      </c>
      <c r="I210" s="6">
        <f>IF(F210="Approved",SUMIF([2]Recalc!A:A,D210,[2]Recalc!BX:BX),0)</f>
        <v>0</v>
      </c>
    </row>
    <row r="211" spans="1:9" x14ac:dyDescent="0.3">
      <c r="A211" s="5">
        <v>45949</v>
      </c>
      <c r="B211" s="4" t="s">
        <v>64</v>
      </c>
      <c r="C211" s="4"/>
      <c r="D211" s="4" t="s">
        <v>400</v>
      </c>
      <c r="E211" s="5">
        <v>45958</v>
      </c>
      <c r="F211" s="4" t="str">
        <f>IF(_xlfn.XLOOKUP(D211,[2]Recalc!A:A,[2]Recalc!A:A,"")=D211,"Approved","Denied")</f>
        <v>Denied</v>
      </c>
      <c r="G211" s="4" t="str">
        <f>IF(F211="Denied",_xlfn.XLOOKUP(D211,'[2]Denied Barcodes'!$A$2:$A$1048576,'[2]Denied Barcodes'!$B$2:$B$1048576,""),"")</f>
        <v>Denied, dimensions line up with vpod</v>
      </c>
      <c r="H211" s="4" t="str">
        <f t="shared" si="3"/>
        <v/>
      </c>
      <c r="I211" s="6">
        <f>IF(F211="Approved",SUMIF([2]Recalc!A:A,D211,[2]Recalc!BX:BX),0)</f>
        <v>0</v>
      </c>
    </row>
    <row r="212" spans="1:9" x14ac:dyDescent="0.3">
      <c r="A212" s="5">
        <v>45949</v>
      </c>
      <c r="B212" s="4" t="s">
        <v>64</v>
      </c>
      <c r="C212" s="4"/>
      <c r="D212" s="4" t="s">
        <v>401</v>
      </c>
      <c r="E212" s="5">
        <v>45958</v>
      </c>
      <c r="F212" s="4" t="str">
        <f>IF(_xlfn.XLOOKUP(D212,[2]Recalc!A:A,[2]Recalc!A:A,"")=D212,"Approved","Denied")</f>
        <v>Denied</v>
      </c>
      <c r="G212" s="4" t="str">
        <f>IF(F212="Denied",_xlfn.XLOOKUP(D212,'[2]Denied Barcodes'!$A$2:$A$1048576,'[2]Denied Barcodes'!$B$2:$B$1048576,""),"")</f>
        <v>Denied, dimensions line up with vpod</v>
      </c>
      <c r="H212" s="4" t="str">
        <f t="shared" si="3"/>
        <v/>
      </c>
      <c r="I212" s="6">
        <f>IF(F212="Approved",SUMIF([2]Recalc!A:A,D212,[2]Recalc!BX:BX),0)</f>
        <v>0</v>
      </c>
    </row>
    <row r="213" spans="1:9" x14ac:dyDescent="0.3">
      <c r="A213" s="5">
        <v>45949</v>
      </c>
      <c r="B213" s="4" t="s">
        <v>64</v>
      </c>
      <c r="C213" s="4"/>
      <c r="D213" s="4" t="s">
        <v>402</v>
      </c>
      <c r="E213" s="5">
        <v>45958</v>
      </c>
      <c r="F213" s="4" t="str">
        <f>IF(_xlfn.XLOOKUP(D213,[2]Recalc!A:A,[2]Recalc!A:A,"")=D213,"Approved","Denied")</f>
        <v>Denied</v>
      </c>
      <c r="G213" s="4" t="str">
        <f>IF(F213="Denied",_xlfn.XLOOKUP(D213,'[2]Denied Barcodes'!$A$2:$A$1048576,'[2]Denied Barcodes'!$B$2:$B$1048576,""),"")</f>
        <v>Denied, billed on customer dimensions</v>
      </c>
      <c r="H213" s="4" t="str">
        <f t="shared" si="3"/>
        <v/>
      </c>
      <c r="I213" s="6">
        <f>IF(F213="Approved",SUMIF([2]Recalc!A:A,D213,[2]Recalc!BX:BX),0)</f>
        <v>0</v>
      </c>
    </row>
    <row r="214" spans="1:9" x14ac:dyDescent="0.3">
      <c r="A214" s="5">
        <v>45949</v>
      </c>
      <c r="B214" s="4" t="s">
        <v>64</v>
      </c>
      <c r="C214" s="4"/>
      <c r="D214" s="4" t="s">
        <v>403</v>
      </c>
      <c r="E214" s="5">
        <v>45958</v>
      </c>
      <c r="F214" s="4" t="str">
        <f>IF(_xlfn.XLOOKUP(D214,[2]Recalc!A:A,[2]Recalc!A:A,"")=D214,"Approved","Denied")</f>
        <v>Denied</v>
      </c>
      <c r="G214" s="4" t="str">
        <f>IF(F214="Denied",_xlfn.XLOOKUP(D214,'[2]Denied Barcodes'!$A$2:$A$1048576,'[2]Denied Barcodes'!$B$2:$B$1048576,""),"")</f>
        <v>Denied, dimensions line up with vpod</v>
      </c>
      <c r="H214" s="4" t="str">
        <f t="shared" si="3"/>
        <v/>
      </c>
      <c r="I214" s="6">
        <f>IF(F214="Approved",SUMIF([2]Recalc!A:A,D214,[2]Recalc!BX:BX),0)</f>
        <v>0</v>
      </c>
    </row>
    <row r="215" spans="1:9" x14ac:dyDescent="0.3">
      <c r="A215" s="5">
        <v>45949</v>
      </c>
      <c r="B215" s="4" t="s">
        <v>64</v>
      </c>
      <c r="C215" s="4"/>
      <c r="D215" s="4" t="s">
        <v>404</v>
      </c>
      <c r="E215" s="5">
        <v>45958</v>
      </c>
      <c r="F215" s="4" t="str">
        <f>IF(_xlfn.XLOOKUP(D215,[2]Recalc!A:A,[2]Recalc!A:A,"")=D215,"Approved","Denied")</f>
        <v>Denied</v>
      </c>
      <c r="G215" s="4" t="str">
        <f>IF(F215="Denied",_xlfn.XLOOKUP(D215,'[2]Denied Barcodes'!$A$2:$A$1048576,'[2]Denied Barcodes'!$B$2:$B$1048576,""),"")</f>
        <v>Denied, dimensions line up with vpod</v>
      </c>
      <c r="H215" s="4" t="str">
        <f t="shared" si="3"/>
        <v/>
      </c>
      <c r="I215" s="6">
        <f>IF(F215="Approved",SUMIF([2]Recalc!A:A,D215,[2]Recalc!BX:BX),0)</f>
        <v>0</v>
      </c>
    </row>
    <row r="216" spans="1:9" x14ac:dyDescent="0.3">
      <c r="A216" s="5">
        <v>45949</v>
      </c>
      <c r="B216" s="4" t="s">
        <v>64</v>
      </c>
      <c r="C216" s="4"/>
      <c r="D216" s="4" t="s">
        <v>405</v>
      </c>
      <c r="E216" s="5">
        <v>45958</v>
      </c>
      <c r="F216" s="4" t="str">
        <f>IF(_xlfn.XLOOKUP(D216,[2]Recalc!A:A,[2]Recalc!A:A,"")=D216,"Approved","Denied")</f>
        <v>Denied</v>
      </c>
      <c r="G216" s="4" t="str">
        <f>IF(F216="Denied",_xlfn.XLOOKUP(D216,'[2]Denied Barcodes'!$A$2:$A$1048576,'[2]Denied Barcodes'!$B$2:$B$1048576,""),"")</f>
        <v>Denied, billed on customer dimensions</v>
      </c>
      <c r="H216" s="4" t="str">
        <f t="shared" si="3"/>
        <v/>
      </c>
      <c r="I216" s="6">
        <f>IF(F216="Approved",SUMIF([2]Recalc!A:A,D216,[2]Recalc!BX:BX),0)</f>
        <v>0</v>
      </c>
    </row>
    <row r="217" spans="1:9" x14ac:dyDescent="0.3">
      <c r="A217" s="5">
        <v>45949</v>
      </c>
      <c r="B217" s="4" t="s">
        <v>64</v>
      </c>
      <c r="C217" s="4"/>
      <c r="D217" s="4" t="s">
        <v>406</v>
      </c>
      <c r="E217" s="5">
        <v>45958</v>
      </c>
      <c r="F217" s="4" t="str">
        <f>IF(_xlfn.XLOOKUP(D217,[2]Recalc!A:A,[2]Recalc!A:A,"")=D217,"Approved","Denied")</f>
        <v>Denied</v>
      </c>
      <c r="G217" s="4" t="str">
        <f>IF(F217="Denied",_xlfn.XLOOKUP(D217,'[2]Denied Barcodes'!$A$2:$A$1048576,'[2]Denied Barcodes'!$B$2:$B$1048576,""),"")</f>
        <v>Denied, outside of dispute period</v>
      </c>
      <c r="H217" s="4" t="str">
        <f t="shared" si="3"/>
        <v/>
      </c>
      <c r="I217" s="6">
        <f>IF(F217="Approved",SUMIF([2]Recalc!A:A,D217,[2]Recalc!BX:BX),0)</f>
        <v>0</v>
      </c>
    </row>
    <row r="218" spans="1:9" x14ac:dyDescent="0.3">
      <c r="A218" s="5">
        <v>45949</v>
      </c>
      <c r="B218" s="4" t="s">
        <v>64</v>
      </c>
      <c r="C218" s="4"/>
      <c r="D218" s="4" t="s">
        <v>407</v>
      </c>
      <c r="E218" s="5">
        <v>45958</v>
      </c>
      <c r="F218" s="4" t="str">
        <f>IF(_xlfn.XLOOKUP(D218,[2]Recalc!A:A,[2]Recalc!A:A,"")=D218,"Approved","Denied")</f>
        <v>Denied</v>
      </c>
      <c r="G218" s="4" t="str">
        <f>IF(F218="Denied",_xlfn.XLOOKUP(D218,'[2]Denied Barcodes'!$A$2:$A$1048576,'[2]Denied Barcodes'!$B$2:$B$1048576,""),"")</f>
        <v>Denied, billed on customer dimensions</v>
      </c>
      <c r="H218" s="4" t="str">
        <f t="shared" si="3"/>
        <v/>
      </c>
      <c r="I218" s="6">
        <f>IF(F218="Approved",SUMIF([2]Recalc!A:A,D218,[2]Recalc!BX:BX),0)</f>
        <v>0</v>
      </c>
    </row>
    <row r="219" spans="1:9" x14ac:dyDescent="0.3">
      <c r="A219" s="5">
        <v>45949</v>
      </c>
      <c r="B219" s="4" t="s">
        <v>64</v>
      </c>
      <c r="C219" s="4"/>
      <c r="D219" s="4" t="s">
        <v>408</v>
      </c>
      <c r="E219" s="5">
        <v>45958</v>
      </c>
      <c r="F219" s="4" t="str">
        <f>IF(_xlfn.XLOOKUP(D219,[2]Recalc!A:A,[2]Recalc!A:A,"")=D219,"Approved","Denied")</f>
        <v>Denied</v>
      </c>
      <c r="G219" s="4" t="str">
        <f>IF(F219="Denied",_xlfn.XLOOKUP(D219,'[2]Denied Barcodes'!$A$2:$A$1048576,'[2]Denied Barcodes'!$B$2:$B$1048576,""),"")</f>
        <v>Denied, billed on customer dimensions</v>
      </c>
      <c r="H219" s="4" t="str">
        <f t="shared" si="3"/>
        <v/>
      </c>
      <c r="I219" s="6">
        <f>IF(F219="Approved",SUMIF([2]Recalc!A:A,D219,[2]Recalc!BX:BX),0)</f>
        <v>0</v>
      </c>
    </row>
    <row r="220" spans="1:9" x14ac:dyDescent="0.3">
      <c r="A220" s="5">
        <v>45949</v>
      </c>
      <c r="B220" s="4" t="s">
        <v>64</v>
      </c>
      <c r="C220" s="4"/>
      <c r="D220" s="4" t="s">
        <v>409</v>
      </c>
      <c r="E220" s="5">
        <v>45958</v>
      </c>
      <c r="F220" s="4" t="str">
        <f>IF(_xlfn.XLOOKUP(D220,[2]Recalc!A:A,[2]Recalc!A:A,"")=D220,"Approved","Denied")</f>
        <v>Denied</v>
      </c>
      <c r="G220" s="4" t="str">
        <f>IF(F220="Denied",_xlfn.XLOOKUP(D220,'[2]Denied Barcodes'!$A$2:$A$1048576,'[2]Denied Barcodes'!$B$2:$B$1048576,""),"")</f>
        <v>Denied, billed on customer dimensions</v>
      </c>
      <c r="H220" s="4" t="str">
        <f t="shared" si="3"/>
        <v/>
      </c>
      <c r="I220" s="6">
        <f>IF(F220="Approved",SUMIF([2]Recalc!A:A,D220,[2]Recalc!BX:BX),0)</f>
        <v>0</v>
      </c>
    </row>
    <row r="221" spans="1:9" x14ac:dyDescent="0.3">
      <c r="A221" s="5">
        <v>45949</v>
      </c>
      <c r="B221" s="4" t="s">
        <v>64</v>
      </c>
      <c r="C221" s="4"/>
      <c r="D221" s="4" t="s">
        <v>410</v>
      </c>
      <c r="E221" s="5">
        <v>45958</v>
      </c>
      <c r="F221" s="4" t="str">
        <f>IF(_xlfn.XLOOKUP(D221,[2]Recalc!A:A,[2]Recalc!A:A,"")=D221,"Approved","Denied")</f>
        <v>Denied</v>
      </c>
      <c r="G221" s="4" t="str">
        <f>IF(F221="Denied",_xlfn.XLOOKUP(D221,'[2]Denied Barcodes'!$A$2:$A$1048576,'[2]Denied Barcodes'!$B$2:$B$1048576,""),"")</f>
        <v>Denied, customer dimensions meet girth definition for AH</v>
      </c>
      <c r="H221" s="4" t="str">
        <f t="shared" si="3"/>
        <v/>
      </c>
      <c r="I221" s="6">
        <f>IF(F221="Approved",SUMIF([2]Recalc!A:A,D221,[2]Recalc!BX:BX),0)</f>
        <v>0</v>
      </c>
    </row>
    <row r="222" spans="1:9" x14ac:dyDescent="0.3">
      <c r="A222" s="5">
        <v>45949</v>
      </c>
      <c r="B222" s="4" t="s">
        <v>64</v>
      </c>
      <c r="C222" s="4"/>
      <c r="D222" s="4" t="s">
        <v>411</v>
      </c>
      <c r="E222" s="5">
        <v>45958</v>
      </c>
      <c r="F222" s="4" t="str">
        <f>IF(_xlfn.XLOOKUP(D222,[2]Recalc!A:A,[2]Recalc!A:A,"")=D222,"Approved","Denied")</f>
        <v>Denied</v>
      </c>
      <c r="G222" s="4" t="str">
        <f>IF(F222="Denied",_xlfn.XLOOKUP(D222,'[2]Denied Barcodes'!$A$2:$A$1048576,'[2]Denied Barcodes'!$B$2:$B$1048576,""),"")</f>
        <v>Denied, dimensions line up with vpod</v>
      </c>
      <c r="H222" s="4" t="str">
        <f t="shared" si="3"/>
        <v/>
      </c>
      <c r="I222" s="6">
        <f>IF(F222="Approved",SUMIF([2]Recalc!A:A,D222,[2]Recalc!BX:BX),0)</f>
        <v>0</v>
      </c>
    </row>
    <row r="223" spans="1:9" x14ac:dyDescent="0.3">
      <c r="A223" s="5">
        <v>45949</v>
      </c>
      <c r="B223" s="4" t="s">
        <v>64</v>
      </c>
      <c r="C223" s="4"/>
      <c r="D223" s="4" t="s">
        <v>412</v>
      </c>
      <c r="E223" s="5">
        <v>45958</v>
      </c>
      <c r="F223" s="4" t="str">
        <f>IF(_xlfn.XLOOKUP(D223,[2]Recalc!A:A,[2]Recalc!A:A,"")=D223,"Approved","Denied")</f>
        <v>Denied</v>
      </c>
      <c r="G223" s="4" t="str">
        <f>IF(F223="Denied",_xlfn.XLOOKUP(D223,'[2]Denied Barcodes'!$A$2:$A$1048576,'[2]Denied Barcodes'!$B$2:$B$1048576,""),"")</f>
        <v>Denied, outside of dispute period</v>
      </c>
      <c r="H223" s="4" t="str">
        <f t="shared" si="3"/>
        <v/>
      </c>
      <c r="I223" s="6">
        <f>IF(F223="Approved",SUMIF([2]Recalc!A:A,D223,[2]Recalc!BX:BX),0)</f>
        <v>0</v>
      </c>
    </row>
    <row r="224" spans="1:9" x14ac:dyDescent="0.3">
      <c r="A224" s="5">
        <v>45949</v>
      </c>
      <c r="B224" s="4" t="s">
        <v>64</v>
      </c>
      <c r="C224" s="4"/>
      <c r="D224" s="4" t="s">
        <v>413</v>
      </c>
      <c r="E224" s="5">
        <v>45958</v>
      </c>
      <c r="F224" s="4" t="str">
        <f>IF(_xlfn.XLOOKUP(D224,[2]Recalc!A:A,[2]Recalc!A:A,"")=D224,"Approved","Denied")</f>
        <v>Denied</v>
      </c>
      <c r="G224" s="4" t="str">
        <f>IF(F224="Denied",_xlfn.XLOOKUP(D224,'[2]Denied Barcodes'!$A$2:$A$1048576,'[2]Denied Barcodes'!$B$2:$B$1048576,""),"")</f>
        <v>Denied, billed on customer dimensions</v>
      </c>
      <c r="H224" s="4" t="str">
        <f t="shared" si="3"/>
        <v/>
      </c>
      <c r="I224" s="6">
        <f>IF(F224="Approved",SUMIF([2]Recalc!A:A,D224,[2]Recalc!BX:BX),0)</f>
        <v>0</v>
      </c>
    </row>
    <row r="225" spans="1:9" x14ac:dyDescent="0.3">
      <c r="A225" s="5">
        <v>45949</v>
      </c>
      <c r="B225" s="4" t="s">
        <v>64</v>
      </c>
      <c r="C225" s="4"/>
      <c r="D225" s="4" t="s">
        <v>414</v>
      </c>
      <c r="E225" s="5">
        <v>45958</v>
      </c>
      <c r="F225" s="4" t="str">
        <f>IF(_xlfn.XLOOKUP(D225,[2]Recalc!A:A,[2]Recalc!A:A,"")=D225,"Approved","Denied")</f>
        <v>Denied</v>
      </c>
      <c r="G225" s="4" t="str">
        <f>IF(F225="Denied",_xlfn.XLOOKUP(D225,'[2]Denied Barcodes'!$A$2:$A$1048576,'[2]Denied Barcodes'!$B$2:$B$1048576,""),"")</f>
        <v>Denied, billed on customer dimensions</v>
      </c>
      <c r="H225" s="4" t="str">
        <f t="shared" si="3"/>
        <v/>
      </c>
      <c r="I225" s="6">
        <f>IF(F225="Approved",SUMIF([2]Recalc!A:A,D225,[2]Recalc!BX:BX),0)</f>
        <v>0</v>
      </c>
    </row>
    <row r="226" spans="1:9" x14ac:dyDescent="0.3">
      <c r="A226" s="5">
        <v>45949</v>
      </c>
      <c r="B226" s="4" t="s">
        <v>64</v>
      </c>
      <c r="C226" s="4"/>
      <c r="D226" s="4" t="s">
        <v>415</v>
      </c>
      <c r="E226" s="5">
        <v>45958</v>
      </c>
      <c r="F226" s="4" t="str">
        <f>IF(_xlfn.XLOOKUP(D226,[2]Recalc!A:A,[2]Recalc!A:A,"")=D226,"Approved","Denied")</f>
        <v>Denied</v>
      </c>
      <c r="G226" s="4" t="str">
        <f>IF(F226="Denied",_xlfn.XLOOKUP(D226,'[2]Denied Barcodes'!$A$2:$A$1048576,'[2]Denied Barcodes'!$B$2:$B$1048576,""),"")</f>
        <v>Denied, dimensions line up with vpod</v>
      </c>
      <c r="H226" s="4" t="str">
        <f t="shared" si="3"/>
        <v/>
      </c>
      <c r="I226" s="6">
        <f>IF(F226="Approved",SUMIF([2]Recalc!A:A,D226,[2]Recalc!BX:BX),0)</f>
        <v>0</v>
      </c>
    </row>
    <row r="227" spans="1:9" x14ac:dyDescent="0.3">
      <c r="A227" s="5">
        <v>45949</v>
      </c>
      <c r="B227" s="4" t="s">
        <v>64</v>
      </c>
      <c r="C227" s="4"/>
      <c r="D227" s="4" t="s">
        <v>416</v>
      </c>
      <c r="E227" s="5">
        <v>45958</v>
      </c>
      <c r="F227" s="4" t="str">
        <f>IF(_xlfn.XLOOKUP(D227,[2]Recalc!A:A,[2]Recalc!A:A,"")=D227,"Approved","Denied")</f>
        <v>Denied</v>
      </c>
      <c r="G227" s="4" t="str">
        <f>IF(F227="Denied",_xlfn.XLOOKUP(D227,'[2]Denied Barcodes'!$A$2:$A$1048576,'[2]Denied Barcodes'!$B$2:$B$1048576,""),"")</f>
        <v>Denied, billed on customer dimensions</v>
      </c>
      <c r="H227" s="4" t="str">
        <f t="shared" si="3"/>
        <v/>
      </c>
      <c r="I227" s="6">
        <f>IF(F227="Approved",SUMIF([2]Recalc!A:A,D227,[2]Recalc!BX:BX),0)</f>
        <v>0</v>
      </c>
    </row>
    <row r="228" spans="1:9" x14ac:dyDescent="0.3">
      <c r="A228" s="5">
        <v>45949</v>
      </c>
      <c r="B228" s="4" t="s">
        <v>64</v>
      </c>
      <c r="C228" s="4"/>
      <c r="D228" s="4" t="s">
        <v>417</v>
      </c>
      <c r="E228" s="5">
        <v>45958</v>
      </c>
      <c r="F228" s="4" t="str">
        <f>IF(_xlfn.XLOOKUP(D228,[2]Recalc!A:A,[2]Recalc!A:A,"")=D228,"Approved","Denied")</f>
        <v>Denied</v>
      </c>
      <c r="G228" s="4" t="str">
        <f>IF(F228="Denied",_xlfn.XLOOKUP(D228,'[2]Denied Barcodes'!$A$2:$A$1048576,'[2]Denied Barcodes'!$B$2:$B$1048576,""),"")</f>
        <v>Denied, billed on customer dimensions</v>
      </c>
      <c r="H228" s="4" t="str">
        <f t="shared" si="3"/>
        <v/>
      </c>
      <c r="I228" s="6">
        <f>IF(F228="Approved",SUMIF([2]Recalc!A:A,D228,[2]Recalc!BX:BX),0)</f>
        <v>0</v>
      </c>
    </row>
    <row r="229" spans="1:9" x14ac:dyDescent="0.3">
      <c r="A229" s="5">
        <v>45949</v>
      </c>
      <c r="B229" s="4" t="s">
        <v>64</v>
      </c>
      <c r="C229" s="4"/>
      <c r="D229" s="4" t="s">
        <v>418</v>
      </c>
      <c r="E229" s="5">
        <v>45958</v>
      </c>
      <c r="F229" s="4" t="str">
        <f>IF(_xlfn.XLOOKUP(D229,[2]Recalc!A:A,[2]Recalc!A:A,"")=D229,"Approved","Denied")</f>
        <v>Denied</v>
      </c>
      <c r="G229" s="4" t="str">
        <f>IF(F229="Denied",_xlfn.XLOOKUP(D229,'[2]Denied Barcodes'!$A$2:$A$1048576,'[2]Denied Barcodes'!$B$2:$B$1048576,""),"")</f>
        <v>Denied, billed on customer dimensions</v>
      </c>
      <c r="H229" s="4" t="str">
        <f t="shared" si="3"/>
        <v/>
      </c>
      <c r="I229" s="6">
        <f>IF(F229="Approved",SUMIF([2]Recalc!A:A,D229,[2]Recalc!BX:BX),0)</f>
        <v>0</v>
      </c>
    </row>
    <row r="230" spans="1:9" x14ac:dyDescent="0.3">
      <c r="A230" s="5">
        <v>45949</v>
      </c>
      <c r="B230" s="4" t="s">
        <v>64</v>
      </c>
      <c r="C230" s="4"/>
      <c r="D230" s="4" t="s">
        <v>419</v>
      </c>
      <c r="E230" s="5">
        <v>45958</v>
      </c>
      <c r="F230" s="4" t="str">
        <f>IF(_xlfn.XLOOKUP(D230,[2]Recalc!A:A,[2]Recalc!A:A,"")=D230,"Approved","Denied")</f>
        <v>Denied</v>
      </c>
      <c r="G230" s="4" t="str">
        <f>IF(F230="Denied",_xlfn.XLOOKUP(D230,'[2]Denied Barcodes'!$A$2:$A$1048576,'[2]Denied Barcodes'!$B$2:$B$1048576,""),"")</f>
        <v>Denied, billed on customer dimensions</v>
      </c>
      <c r="H230" s="4" t="str">
        <f t="shared" si="3"/>
        <v/>
      </c>
      <c r="I230" s="6">
        <f>IF(F230="Approved",SUMIF([2]Recalc!A:A,D230,[2]Recalc!BX:BX),0)</f>
        <v>0</v>
      </c>
    </row>
    <row r="231" spans="1:9" x14ac:dyDescent="0.3">
      <c r="A231" s="5">
        <v>45949</v>
      </c>
      <c r="B231" s="4" t="s">
        <v>64</v>
      </c>
      <c r="C231" s="4"/>
      <c r="D231" s="4" t="s">
        <v>420</v>
      </c>
      <c r="E231" s="5">
        <v>45958</v>
      </c>
      <c r="F231" s="4" t="str">
        <f>IF(_xlfn.XLOOKUP(D231,[2]Recalc!A:A,[2]Recalc!A:A,"")=D231,"Approved","Denied")</f>
        <v>Denied</v>
      </c>
      <c r="G231" s="4" t="str">
        <f>IF(F231="Denied",_xlfn.XLOOKUP(D231,'[2]Denied Barcodes'!$A$2:$A$1048576,'[2]Denied Barcodes'!$B$2:$B$1048576,""),"")</f>
        <v>Denied, billed on customer dimensions</v>
      </c>
      <c r="H231" s="4" t="str">
        <f t="shared" si="3"/>
        <v/>
      </c>
      <c r="I231" s="6">
        <f>IF(F231="Approved",SUMIF([2]Recalc!A:A,D231,[2]Recalc!BX:BX),0)</f>
        <v>0</v>
      </c>
    </row>
    <row r="232" spans="1:9" x14ac:dyDescent="0.3">
      <c r="A232" s="5">
        <v>45949</v>
      </c>
      <c r="B232" s="4" t="s">
        <v>64</v>
      </c>
      <c r="C232" s="4"/>
      <c r="D232" s="4" t="s">
        <v>421</v>
      </c>
      <c r="E232" s="5">
        <v>45958</v>
      </c>
      <c r="F232" s="4" t="str">
        <f>IF(_xlfn.XLOOKUP(D232,[2]Recalc!A:A,[2]Recalc!A:A,"")=D232,"Approved","Denied")</f>
        <v>Denied</v>
      </c>
      <c r="G232" s="4" t="str">
        <f>IF(F232="Denied",_xlfn.XLOOKUP(D232,'[2]Denied Barcodes'!$A$2:$A$1048576,'[2]Denied Barcodes'!$B$2:$B$1048576,""),"")</f>
        <v>Denied, billed on customer dimensions</v>
      </c>
      <c r="H232" s="4" t="str">
        <f t="shared" si="3"/>
        <v/>
      </c>
      <c r="I232" s="6">
        <f>IF(F232="Approved",SUMIF([2]Recalc!A:A,D232,[2]Recalc!BX:BX),0)</f>
        <v>0</v>
      </c>
    </row>
    <row r="233" spans="1:9" x14ac:dyDescent="0.3">
      <c r="A233" s="5">
        <v>45949</v>
      </c>
      <c r="B233" s="4" t="s">
        <v>64</v>
      </c>
      <c r="C233" s="4"/>
      <c r="D233" s="4" t="s">
        <v>422</v>
      </c>
      <c r="E233" s="5">
        <v>45958</v>
      </c>
      <c r="F233" s="4" t="str">
        <f>IF(_xlfn.XLOOKUP(D233,[2]Recalc!A:A,[2]Recalc!A:A,"")=D233,"Approved","Denied")</f>
        <v>Denied</v>
      </c>
      <c r="G233" s="4" t="str">
        <f>IF(F233="Denied",_xlfn.XLOOKUP(D233,'[2]Denied Barcodes'!$A$2:$A$1048576,'[2]Denied Barcodes'!$B$2:$B$1048576,""),"")</f>
        <v>Denied, billed on customer dimensions</v>
      </c>
      <c r="H233" s="4" t="str">
        <f t="shared" si="3"/>
        <v/>
      </c>
      <c r="I233" s="6">
        <f>IF(F233="Approved",SUMIF([2]Recalc!A:A,D233,[2]Recalc!BX:BX),0)</f>
        <v>0</v>
      </c>
    </row>
    <row r="234" spans="1:9" x14ac:dyDescent="0.3">
      <c r="A234" s="5">
        <v>45949</v>
      </c>
      <c r="B234" s="4" t="s">
        <v>64</v>
      </c>
      <c r="C234" s="4"/>
      <c r="D234" s="4" t="s">
        <v>423</v>
      </c>
      <c r="E234" s="5">
        <v>45958</v>
      </c>
      <c r="F234" s="4" t="str">
        <f>IF(_xlfn.XLOOKUP(D234,[2]Recalc!A:A,[2]Recalc!A:A,"")=D234,"Approved","Denied")</f>
        <v>Denied</v>
      </c>
      <c r="G234" s="4" t="str">
        <f>IF(F234="Denied",_xlfn.XLOOKUP(D234,'[2]Denied Barcodes'!$A$2:$A$1048576,'[2]Denied Barcodes'!$B$2:$B$1048576,""),"")</f>
        <v>Denied, billed on customer weight</v>
      </c>
      <c r="H234" s="4" t="str">
        <f t="shared" si="3"/>
        <v/>
      </c>
      <c r="I234" s="6">
        <f>IF(F234="Approved",SUMIF([2]Recalc!A:A,D234,[2]Recalc!BX:BX),0)</f>
        <v>0</v>
      </c>
    </row>
    <row r="235" spans="1:9" x14ac:dyDescent="0.3">
      <c r="A235" s="5">
        <v>45949</v>
      </c>
      <c r="B235" s="4" t="s">
        <v>64</v>
      </c>
      <c r="C235" s="4"/>
      <c r="D235" s="4" t="s">
        <v>424</v>
      </c>
      <c r="E235" s="5">
        <v>45958</v>
      </c>
      <c r="F235" s="4" t="str">
        <f>IF(_xlfn.XLOOKUP(D235,[2]Recalc!A:A,[2]Recalc!A:A,"")=D235,"Approved","Denied")</f>
        <v>Denied</v>
      </c>
      <c r="G235" s="4" t="str">
        <f>IF(F235="Denied",_xlfn.XLOOKUP(D235,'[2]Denied Barcodes'!$A$2:$A$1048576,'[2]Denied Barcodes'!$B$2:$B$1048576,""),"")</f>
        <v>Denied, billed on customer dimensions</v>
      </c>
      <c r="H235" s="4" t="str">
        <f t="shared" si="3"/>
        <v/>
      </c>
      <c r="I235" s="6">
        <f>IF(F235="Approved",SUMIF([2]Recalc!A:A,D235,[2]Recalc!BX:BX),0)</f>
        <v>0</v>
      </c>
    </row>
    <row r="236" spans="1:9" x14ac:dyDescent="0.3">
      <c r="A236" s="5">
        <v>45949</v>
      </c>
      <c r="B236" s="4" t="s">
        <v>64</v>
      </c>
      <c r="C236" s="4"/>
      <c r="D236" s="4" t="s">
        <v>425</v>
      </c>
      <c r="E236" s="5">
        <v>45958</v>
      </c>
      <c r="F236" s="4" t="str">
        <f>IF(_xlfn.XLOOKUP(D236,[2]Recalc!A:A,[2]Recalc!A:A,"")=D236,"Approved","Denied")</f>
        <v>Denied</v>
      </c>
      <c r="G236" s="4" t="str">
        <f>IF(F236="Denied",_xlfn.XLOOKUP(D236,'[2]Denied Barcodes'!$A$2:$A$1048576,'[2]Denied Barcodes'!$B$2:$B$1048576,""),"")</f>
        <v>Denied, billed on customer dimensions</v>
      </c>
      <c r="H236" s="4" t="str">
        <f t="shared" si="3"/>
        <v/>
      </c>
      <c r="I236" s="6">
        <f>IF(F236="Approved",SUMIF([2]Recalc!A:A,D236,[2]Recalc!BX:BX),0)</f>
        <v>0</v>
      </c>
    </row>
    <row r="237" spans="1:9" x14ac:dyDescent="0.3">
      <c r="A237" s="5">
        <v>45949</v>
      </c>
      <c r="B237" s="4" t="s">
        <v>64</v>
      </c>
      <c r="C237" s="4"/>
      <c r="D237" s="4" t="s">
        <v>426</v>
      </c>
      <c r="E237" s="5">
        <v>45958</v>
      </c>
      <c r="F237" s="4" t="str">
        <f>IF(_xlfn.XLOOKUP(D237,[2]Recalc!A:A,[2]Recalc!A:A,"")=D237,"Approved","Denied")</f>
        <v>Denied</v>
      </c>
      <c r="G237" s="4" t="str">
        <f>IF(F237="Denied",_xlfn.XLOOKUP(D237,'[2]Denied Barcodes'!$A$2:$A$1048576,'[2]Denied Barcodes'!$B$2:$B$1048576,""),"")</f>
        <v>Denied, customer dimensions meet girth definition for AH</v>
      </c>
      <c r="H237" s="4" t="str">
        <f t="shared" si="3"/>
        <v/>
      </c>
      <c r="I237" s="6">
        <f>IF(F237="Approved",SUMIF([2]Recalc!A:A,D237,[2]Recalc!BX:BX),0)</f>
        <v>0</v>
      </c>
    </row>
    <row r="238" spans="1:9" x14ac:dyDescent="0.3">
      <c r="A238" s="5">
        <v>45949</v>
      </c>
      <c r="B238" s="4" t="s">
        <v>64</v>
      </c>
      <c r="C238" s="4"/>
      <c r="D238" s="4" t="s">
        <v>427</v>
      </c>
      <c r="E238" s="5">
        <v>45958</v>
      </c>
      <c r="F238" s="4" t="str">
        <f>IF(_xlfn.XLOOKUP(D238,[2]Recalc!A:A,[2]Recalc!A:A,"")=D238,"Approved","Denied")</f>
        <v>Denied</v>
      </c>
      <c r="G238" s="4" t="str">
        <f>IF(F238="Denied",_xlfn.XLOOKUP(D238,'[2]Denied Barcodes'!$A$2:$A$1048576,'[2]Denied Barcodes'!$B$2:$B$1048576,""),"")</f>
        <v>Denied, dimensions line up with vpod</v>
      </c>
      <c r="H238" s="4" t="str">
        <f t="shared" si="3"/>
        <v/>
      </c>
      <c r="I238" s="6">
        <f>IF(F238="Approved",SUMIF([2]Recalc!A:A,D238,[2]Recalc!BX:BX),0)</f>
        <v>0</v>
      </c>
    </row>
    <row r="239" spans="1:9" x14ac:dyDescent="0.3">
      <c r="A239" s="5">
        <v>45949</v>
      </c>
      <c r="B239" s="4" t="s">
        <v>64</v>
      </c>
      <c r="C239" s="4"/>
      <c r="D239" s="4" t="s">
        <v>428</v>
      </c>
      <c r="E239" s="5">
        <v>45958</v>
      </c>
      <c r="F239" s="4" t="str">
        <f>IF(_xlfn.XLOOKUP(D239,[2]Recalc!A:A,[2]Recalc!A:A,"")=D239,"Approved","Denied")</f>
        <v>Denied</v>
      </c>
      <c r="G239" s="4" t="str">
        <f>IF(F239="Denied",_xlfn.XLOOKUP(D239,'[2]Denied Barcodes'!$A$2:$A$1048576,'[2]Denied Barcodes'!$B$2:$B$1048576,""),"")</f>
        <v>Denied, dimensions line up with vpod</v>
      </c>
      <c r="H239" s="4" t="str">
        <f t="shared" si="3"/>
        <v/>
      </c>
      <c r="I239" s="6">
        <f>IF(F239="Approved",SUMIF([2]Recalc!A:A,D239,[2]Recalc!BX:BX),0)</f>
        <v>0</v>
      </c>
    </row>
    <row r="240" spans="1:9" x14ac:dyDescent="0.3">
      <c r="A240" s="5">
        <v>45949</v>
      </c>
      <c r="B240" s="4" t="s">
        <v>64</v>
      </c>
      <c r="C240" s="4"/>
      <c r="D240" s="4" t="s">
        <v>429</v>
      </c>
      <c r="E240" s="5">
        <v>45958</v>
      </c>
      <c r="F240" s="4" t="str">
        <f>IF(_xlfn.XLOOKUP(D240,[2]Recalc!A:A,[2]Recalc!A:A,"")=D240,"Approved","Denied")</f>
        <v>Denied</v>
      </c>
      <c r="G240" s="4" t="str">
        <f>IF(F240="Denied",_xlfn.XLOOKUP(D240,'[2]Denied Barcodes'!$A$2:$A$1048576,'[2]Denied Barcodes'!$B$2:$B$1048576,""),"")</f>
        <v>Denied, billed on customer dimensions</v>
      </c>
      <c r="H240" s="4" t="str">
        <f t="shared" si="3"/>
        <v/>
      </c>
      <c r="I240" s="6">
        <f>IF(F240="Approved",SUMIF([2]Recalc!A:A,D240,[2]Recalc!BX:BX),0)</f>
        <v>0</v>
      </c>
    </row>
    <row r="241" spans="1:9" x14ac:dyDescent="0.3">
      <c r="A241" s="5">
        <v>45949</v>
      </c>
      <c r="B241" s="4" t="s">
        <v>64</v>
      </c>
      <c r="C241" s="4"/>
      <c r="D241" s="4" t="s">
        <v>430</v>
      </c>
      <c r="E241" s="5">
        <v>45958</v>
      </c>
      <c r="F241" s="4" t="str">
        <f>IF(_xlfn.XLOOKUP(D241,[2]Recalc!A:A,[2]Recalc!A:A,"")=D241,"Approved","Denied")</f>
        <v>Denied</v>
      </c>
      <c r="G241" s="4" t="str">
        <f>IF(F241="Denied",_xlfn.XLOOKUP(D241,'[2]Denied Barcodes'!$A$2:$A$1048576,'[2]Denied Barcodes'!$B$2:$B$1048576,""),"")</f>
        <v>Denied, billed on customer dimensions</v>
      </c>
      <c r="H241" s="4" t="str">
        <f t="shared" si="3"/>
        <v/>
      </c>
      <c r="I241" s="6">
        <f>IF(F241="Approved",SUMIF([2]Recalc!A:A,D241,[2]Recalc!BX:BX),0)</f>
        <v>0</v>
      </c>
    </row>
    <row r="242" spans="1:9" x14ac:dyDescent="0.3">
      <c r="A242" s="5">
        <v>45949</v>
      </c>
      <c r="B242" s="4" t="s">
        <v>64</v>
      </c>
      <c r="C242" s="4"/>
      <c r="D242" s="4" t="s">
        <v>431</v>
      </c>
      <c r="E242" s="5">
        <v>45958</v>
      </c>
      <c r="F242" s="4" t="str">
        <f>IF(_xlfn.XLOOKUP(D242,[2]Recalc!A:A,[2]Recalc!A:A,"")=D242,"Approved","Denied")</f>
        <v>Denied</v>
      </c>
      <c r="G242" s="4" t="str">
        <f>IF(F242="Denied",_xlfn.XLOOKUP(D242,'[2]Denied Barcodes'!$A$2:$A$1048576,'[2]Denied Barcodes'!$B$2:$B$1048576,""),"")</f>
        <v>Denied, billed on customer dimensions</v>
      </c>
      <c r="H242" s="4" t="str">
        <f t="shared" si="3"/>
        <v/>
      </c>
      <c r="I242" s="6">
        <f>IF(F242="Approved",SUMIF([2]Recalc!A:A,D242,[2]Recalc!BX:BX),0)</f>
        <v>0</v>
      </c>
    </row>
    <row r="243" spans="1:9" x14ac:dyDescent="0.3">
      <c r="A243" s="5">
        <v>45949</v>
      </c>
      <c r="B243" s="4" t="s">
        <v>64</v>
      </c>
      <c r="C243" s="4"/>
      <c r="D243" s="4" t="s">
        <v>432</v>
      </c>
      <c r="E243" s="5">
        <v>45958</v>
      </c>
      <c r="F243" s="4" t="str">
        <f>IF(_xlfn.XLOOKUP(D243,[2]Recalc!A:A,[2]Recalc!A:A,"")=D243,"Approved","Denied")</f>
        <v>Denied</v>
      </c>
      <c r="G243" s="4" t="str">
        <f>IF(F243="Denied",_xlfn.XLOOKUP(D243,'[2]Denied Barcodes'!$A$2:$A$1048576,'[2]Denied Barcodes'!$B$2:$B$1048576,""),"")</f>
        <v>Denied, billed on customer dimensions</v>
      </c>
      <c r="H243" s="4" t="str">
        <f t="shared" si="3"/>
        <v/>
      </c>
      <c r="I243" s="6">
        <f>IF(F243="Approved",SUMIF([2]Recalc!A:A,D243,[2]Recalc!BX:BX),0)</f>
        <v>0</v>
      </c>
    </row>
    <row r="244" spans="1:9" x14ac:dyDescent="0.3">
      <c r="A244" s="5">
        <v>45949</v>
      </c>
      <c r="B244" s="4" t="s">
        <v>64</v>
      </c>
      <c r="C244" s="4"/>
      <c r="D244" s="4" t="s">
        <v>433</v>
      </c>
      <c r="E244" s="5">
        <v>45958</v>
      </c>
      <c r="F244" s="4" t="str">
        <f>IF(_xlfn.XLOOKUP(D244,[2]Recalc!A:A,[2]Recalc!A:A,"")=D244,"Approved","Denied")</f>
        <v>Denied</v>
      </c>
      <c r="G244" s="4" t="str">
        <f>IF(F244="Denied",_xlfn.XLOOKUP(D244,'[2]Denied Barcodes'!$A$2:$A$1048576,'[2]Denied Barcodes'!$B$2:$B$1048576,""),"")</f>
        <v>Denied, billed on customer dimensions</v>
      </c>
      <c r="H244" s="4" t="str">
        <f t="shared" si="3"/>
        <v/>
      </c>
      <c r="I244" s="6">
        <f>IF(F244="Approved",SUMIF([2]Recalc!A:A,D244,[2]Recalc!BX:BX),0)</f>
        <v>0</v>
      </c>
    </row>
    <row r="245" spans="1:9" x14ac:dyDescent="0.3">
      <c r="A245" s="5">
        <v>45949</v>
      </c>
      <c r="B245" s="4" t="s">
        <v>64</v>
      </c>
      <c r="C245" s="4"/>
      <c r="D245" s="4" t="s">
        <v>434</v>
      </c>
      <c r="E245" s="5">
        <v>45958</v>
      </c>
      <c r="F245" s="4" t="str">
        <f>IF(_xlfn.XLOOKUP(D245,[2]Recalc!A:A,[2]Recalc!A:A,"")=D245,"Approved","Denied")</f>
        <v>Denied</v>
      </c>
      <c r="G245" s="4" t="str">
        <f>IF(F245="Denied",_xlfn.XLOOKUP(D245,'[2]Denied Barcodes'!$A$2:$A$1048576,'[2]Denied Barcodes'!$B$2:$B$1048576,""),"")</f>
        <v>Denied, billed on customer dimensions</v>
      </c>
      <c r="H245" s="4" t="str">
        <f t="shared" si="3"/>
        <v/>
      </c>
      <c r="I245" s="6">
        <f>IF(F245="Approved",SUMIF([2]Recalc!A:A,D245,[2]Recalc!BX:BX),0)</f>
        <v>0</v>
      </c>
    </row>
    <row r="246" spans="1:9" x14ac:dyDescent="0.3">
      <c r="A246" s="5">
        <v>45949</v>
      </c>
      <c r="B246" s="4" t="s">
        <v>64</v>
      </c>
      <c r="C246" s="4"/>
      <c r="D246" s="4" t="s">
        <v>435</v>
      </c>
      <c r="E246" s="5">
        <v>45958</v>
      </c>
      <c r="F246" s="4" t="str">
        <f>IF(_xlfn.XLOOKUP(D246,[2]Recalc!A:A,[2]Recalc!A:A,"")=D246,"Approved","Denied")</f>
        <v>Denied</v>
      </c>
      <c r="G246" s="4" t="str">
        <f>IF(F246="Denied",_xlfn.XLOOKUP(D246,'[2]Denied Barcodes'!$A$2:$A$1048576,'[2]Denied Barcodes'!$B$2:$B$1048576,""),"")</f>
        <v>Denied, customer dimensions meet girth definition for AH</v>
      </c>
      <c r="H246" s="4" t="str">
        <f t="shared" si="3"/>
        <v/>
      </c>
      <c r="I246" s="6">
        <f>IF(F246="Approved",SUMIF([2]Recalc!A:A,D246,[2]Recalc!BX:BX),0)</f>
        <v>0</v>
      </c>
    </row>
    <row r="247" spans="1:9" x14ac:dyDescent="0.3">
      <c r="A247" s="5">
        <v>45949</v>
      </c>
      <c r="B247" s="4" t="s">
        <v>64</v>
      </c>
      <c r="C247" s="4"/>
      <c r="D247" s="4" t="s">
        <v>436</v>
      </c>
      <c r="E247" s="5">
        <v>45958</v>
      </c>
      <c r="F247" s="4" t="str">
        <f>IF(_xlfn.XLOOKUP(D247,[2]Recalc!A:A,[2]Recalc!A:A,"")=D247,"Approved","Denied")</f>
        <v>Denied</v>
      </c>
      <c r="G247" s="4" t="str">
        <f>IF(F247="Denied",_xlfn.XLOOKUP(D247,'[2]Denied Barcodes'!$A$2:$A$1048576,'[2]Denied Barcodes'!$B$2:$B$1048576,""),"")</f>
        <v>Denied, billed on customer dimensions</v>
      </c>
      <c r="H247" s="4" t="str">
        <f t="shared" si="3"/>
        <v/>
      </c>
      <c r="I247" s="6">
        <f>IF(F247="Approved",SUMIF([2]Recalc!A:A,D247,[2]Recalc!BX:BX),0)</f>
        <v>0</v>
      </c>
    </row>
    <row r="248" spans="1:9" x14ac:dyDescent="0.3">
      <c r="A248" s="5">
        <v>45949</v>
      </c>
      <c r="B248" s="4" t="s">
        <v>64</v>
      </c>
      <c r="C248" s="4"/>
      <c r="D248" s="4" t="s">
        <v>437</v>
      </c>
      <c r="E248" s="5">
        <v>45958</v>
      </c>
      <c r="F248" s="4" t="str">
        <f>IF(_xlfn.XLOOKUP(D248,[2]Recalc!A:A,[2]Recalc!A:A,"")=D248,"Approved","Denied")</f>
        <v>Denied</v>
      </c>
      <c r="G248" s="4" t="str">
        <f>IF(F248="Denied",_xlfn.XLOOKUP(D248,'[2]Denied Barcodes'!$A$2:$A$1048576,'[2]Denied Barcodes'!$B$2:$B$1048576,""),"")</f>
        <v>Denied, billed on customer dimensions</v>
      </c>
      <c r="H248" s="4" t="str">
        <f t="shared" si="3"/>
        <v/>
      </c>
      <c r="I248" s="6">
        <f>IF(F248="Approved",SUMIF([2]Recalc!A:A,D248,[2]Recalc!BX:BX),0)</f>
        <v>0</v>
      </c>
    </row>
    <row r="249" spans="1:9" x14ac:dyDescent="0.3">
      <c r="A249" s="5">
        <v>45949</v>
      </c>
      <c r="B249" s="4" t="s">
        <v>64</v>
      </c>
      <c r="C249" s="4"/>
      <c r="D249" s="4" t="s">
        <v>438</v>
      </c>
      <c r="E249" s="5">
        <v>45958</v>
      </c>
      <c r="F249" s="4" t="str">
        <f>IF(_xlfn.XLOOKUP(D249,[2]Recalc!A:A,[2]Recalc!A:A,"")=D249,"Approved","Denied")</f>
        <v>Denied</v>
      </c>
      <c r="G249" s="4" t="str">
        <f>IF(F249="Denied",_xlfn.XLOOKUP(D249,'[2]Denied Barcodes'!$A$2:$A$1048576,'[2]Denied Barcodes'!$B$2:$B$1048576,""),"")</f>
        <v>Denied, billed on customer dimensions</v>
      </c>
      <c r="H249" s="4" t="str">
        <f t="shared" si="3"/>
        <v/>
      </c>
      <c r="I249" s="6">
        <f>IF(F249="Approved",SUMIF([2]Recalc!A:A,D249,[2]Recalc!BX:BX),0)</f>
        <v>0</v>
      </c>
    </row>
    <row r="250" spans="1:9" x14ac:dyDescent="0.3">
      <c r="A250" s="5">
        <v>45949</v>
      </c>
      <c r="B250" s="4" t="s">
        <v>64</v>
      </c>
      <c r="C250" s="4"/>
      <c r="D250" s="4" t="s">
        <v>439</v>
      </c>
      <c r="E250" s="5">
        <v>45958</v>
      </c>
      <c r="F250" s="4" t="str">
        <f>IF(_xlfn.XLOOKUP(D250,[2]Recalc!A:A,[2]Recalc!A:A,"")=D250,"Approved","Denied")</f>
        <v>Denied</v>
      </c>
      <c r="G250" s="4" t="str">
        <f>IF(F250="Denied",_xlfn.XLOOKUP(D250,'[2]Denied Barcodes'!$A$2:$A$1048576,'[2]Denied Barcodes'!$B$2:$B$1048576,""),"")</f>
        <v>Denied, billed on customer dimensions</v>
      </c>
      <c r="H250" s="4" t="str">
        <f t="shared" si="3"/>
        <v/>
      </c>
      <c r="I250" s="6">
        <f>IF(F250="Approved",SUMIF([2]Recalc!A:A,D250,[2]Recalc!BX:BX),0)</f>
        <v>0</v>
      </c>
    </row>
    <row r="251" spans="1:9" x14ac:dyDescent="0.3">
      <c r="A251" s="5">
        <v>45949</v>
      </c>
      <c r="B251" s="4" t="s">
        <v>64</v>
      </c>
      <c r="C251" s="4"/>
      <c r="D251" s="4" t="s">
        <v>440</v>
      </c>
      <c r="E251" s="5">
        <v>45958</v>
      </c>
      <c r="F251" s="4" t="str">
        <f>IF(_xlfn.XLOOKUP(D251,[2]Recalc!A:A,[2]Recalc!A:A,"")=D251,"Approved","Denied")</f>
        <v>Denied</v>
      </c>
      <c r="G251" s="4" t="str">
        <f>IF(F251="Denied",_xlfn.XLOOKUP(D251,'[2]Denied Barcodes'!$A$2:$A$1048576,'[2]Denied Barcodes'!$B$2:$B$1048576,""),"")</f>
        <v>Denied, dimensions line up with vpod</v>
      </c>
      <c r="H251" s="4" t="str">
        <f t="shared" si="3"/>
        <v/>
      </c>
      <c r="I251" s="6">
        <f>IF(F251="Approved",SUMIF([2]Recalc!A:A,D251,[2]Recalc!BX:BX),0)</f>
        <v>0</v>
      </c>
    </row>
    <row r="252" spans="1:9" x14ac:dyDescent="0.3">
      <c r="A252" s="5">
        <v>45949</v>
      </c>
      <c r="B252" s="4" t="s">
        <v>64</v>
      </c>
      <c r="C252" s="4"/>
      <c r="D252" s="4" t="s">
        <v>441</v>
      </c>
      <c r="E252" s="5">
        <v>45958</v>
      </c>
      <c r="F252" s="4" t="str">
        <f>IF(_xlfn.XLOOKUP(D252,[2]Recalc!A:A,[2]Recalc!A:A,"")=D252,"Approved","Denied")</f>
        <v>Denied</v>
      </c>
      <c r="G252" s="4" t="str">
        <f>IF(F252="Denied",_xlfn.XLOOKUP(D252,'[2]Denied Barcodes'!$A$2:$A$1048576,'[2]Denied Barcodes'!$B$2:$B$1048576,""),"")</f>
        <v>Denied, customer dimensions meet girth definition for AH</v>
      </c>
      <c r="H252" s="4" t="str">
        <f t="shared" si="3"/>
        <v/>
      </c>
      <c r="I252" s="6">
        <f>IF(F252="Approved",SUMIF([2]Recalc!A:A,D252,[2]Recalc!BX:BX),0)</f>
        <v>0</v>
      </c>
    </row>
    <row r="253" spans="1:9" x14ac:dyDescent="0.3">
      <c r="A253" s="5">
        <v>45949</v>
      </c>
      <c r="B253" s="4" t="s">
        <v>64</v>
      </c>
      <c r="C253" s="4"/>
      <c r="D253" s="4" t="s">
        <v>442</v>
      </c>
      <c r="E253" s="5">
        <v>45958</v>
      </c>
      <c r="F253" s="4" t="str">
        <f>IF(_xlfn.XLOOKUP(D253,[2]Recalc!A:A,[2]Recalc!A:A,"")=D253,"Approved","Denied")</f>
        <v>Denied</v>
      </c>
      <c r="G253" s="4" t="str">
        <f>IF(F253="Denied",_xlfn.XLOOKUP(D253,'[2]Denied Barcodes'!$A$2:$A$1048576,'[2]Denied Barcodes'!$B$2:$B$1048576,""),"")</f>
        <v>Denied, billed on customer dimensions</v>
      </c>
      <c r="H253" s="4" t="str">
        <f t="shared" si="3"/>
        <v/>
      </c>
      <c r="I253" s="6">
        <f>IF(F253="Approved",SUMIF([2]Recalc!A:A,D253,[2]Recalc!BX:BX),0)</f>
        <v>0</v>
      </c>
    </row>
    <row r="254" spans="1:9" x14ac:dyDescent="0.3">
      <c r="A254" s="5">
        <v>45949</v>
      </c>
      <c r="B254" s="4" t="s">
        <v>64</v>
      </c>
      <c r="C254" s="4"/>
      <c r="D254" s="4" t="s">
        <v>443</v>
      </c>
      <c r="E254" s="5">
        <v>45958</v>
      </c>
      <c r="F254" s="4" t="str">
        <f>IF(_xlfn.XLOOKUP(D254,[2]Recalc!A:A,[2]Recalc!A:A,"")=D254,"Approved","Denied")</f>
        <v>Denied</v>
      </c>
      <c r="G254" s="4" t="str">
        <f>IF(F254="Denied",_xlfn.XLOOKUP(D254,'[2]Denied Barcodes'!$A$2:$A$1048576,'[2]Denied Barcodes'!$B$2:$B$1048576,""),"")</f>
        <v>Denied, dimensions line up with vpod</v>
      </c>
      <c r="H254" s="4" t="str">
        <f t="shared" si="3"/>
        <v/>
      </c>
      <c r="I254" s="6">
        <f>IF(F254="Approved",SUMIF([2]Recalc!A:A,D254,[2]Recalc!BX:BX),0)</f>
        <v>0</v>
      </c>
    </row>
    <row r="255" spans="1:9" x14ac:dyDescent="0.3">
      <c r="A255" s="5">
        <v>45949</v>
      </c>
      <c r="B255" s="4" t="s">
        <v>64</v>
      </c>
      <c r="C255" s="4"/>
      <c r="D255" s="4" t="s">
        <v>444</v>
      </c>
      <c r="E255" s="5">
        <v>45958</v>
      </c>
      <c r="F255" s="4" t="str">
        <f>IF(_xlfn.XLOOKUP(D255,[2]Recalc!A:A,[2]Recalc!A:A,"")=D255,"Approved","Denied")</f>
        <v>Denied</v>
      </c>
      <c r="G255" s="4" t="str">
        <f>IF(F255="Denied",_xlfn.XLOOKUP(D255,'[2]Denied Barcodes'!$A$2:$A$1048576,'[2]Denied Barcodes'!$B$2:$B$1048576,""),"")</f>
        <v>Denied, dimensions line up with vpod</v>
      </c>
      <c r="H255" s="4" t="str">
        <f t="shared" si="3"/>
        <v/>
      </c>
      <c r="I255" s="6">
        <f>IF(F255="Approved",SUMIF([2]Recalc!A:A,D255,[2]Recalc!BX:BX),0)</f>
        <v>0</v>
      </c>
    </row>
    <row r="256" spans="1:9" x14ac:dyDescent="0.3">
      <c r="A256" s="5">
        <v>45949</v>
      </c>
      <c r="B256" s="4" t="s">
        <v>64</v>
      </c>
      <c r="C256" s="4"/>
      <c r="D256" s="4" t="s">
        <v>445</v>
      </c>
      <c r="E256" s="5">
        <v>45958</v>
      </c>
      <c r="F256" s="4" t="str">
        <f>IF(_xlfn.XLOOKUP(D256,[2]Recalc!A:A,[2]Recalc!A:A,"")=D256,"Approved","Denied")</f>
        <v>Denied</v>
      </c>
      <c r="G256" s="4" t="str">
        <f>IF(F256="Denied",_xlfn.XLOOKUP(D256,'[2]Denied Barcodes'!$A$2:$A$1048576,'[2]Denied Barcodes'!$B$2:$B$1048576,""),"")</f>
        <v>Denied, billed on customer dimensions</v>
      </c>
      <c r="H256" s="4" t="str">
        <f t="shared" si="3"/>
        <v/>
      </c>
      <c r="I256" s="6">
        <f>IF(F256="Approved",SUMIF([2]Recalc!A:A,D256,[2]Recalc!BX:BX),0)</f>
        <v>0</v>
      </c>
    </row>
    <row r="257" spans="1:9" x14ac:dyDescent="0.3">
      <c r="A257" s="5">
        <v>45949</v>
      </c>
      <c r="B257" s="4" t="s">
        <v>64</v>
      </c>
      <c r="C257" s="4"/>
      <c r="D257" s="4" t="s">
        <v>446</v>
      </c>
      <c r="E257" s="5">
        <v>45958</v>
      </c>
      <c r="F257" s="4" t="str">
        <f>IF(_xlfn.XLOOKUP(D257,[2]Recalc!A:A,[2]Recalc!A:A,"")=D257,"Approved","Denied")</f>
        <v>Denied</v>
      </c>
      <c r="G257" s="4" t="str">
        <f>IF(F257="Denied",_xlfn.XLOOKUP(D257,'[2]Denied Barcodes'!$A$2:$A$1048576,'[2]Denied Barcodes'!$B$2:$B$1048576,""),"")</f>
        <v>Denied, dimensions line up with vpod</v>
      </c>
      <c r="H257" s="4" t="str">
        <f t="shared" si="3"/>
        <v/>
      </c>
      <c r="I257" s="6">
        <f>IF(F257="Approved",SUMIF([2]Recalc!A:A,D257,[2]Recalc!BX:BX),0)</f>
        <v>0</v>
      </c>
    </row>
    <row r="258" spans="1:9" x14ac:dyDescent="0.3">
      <c r="A258" s="5">
        <v>45949</v>
      </c>
      <c r="B258" s="4" t="s">
        <v>64</v>
      </c>
      <c r="C258" s="4"/>
      <c r="D258" s="4" t="s">
        <v>447</v>
      </c>
      <c r="E258" s="5">
        <v>45958</v>
      </c>
      <c r="F258" s="4" t="str">
        <f>IF(_xlfn.XLOOKUP(D258,[2]Recalc!A:A,[2]Recalc!A:A,"")=D258,"Approved","Denied")</f>
        <v>Denied</v>
      </c>
      <c r="G258" s="4" t="str">
        <f>IF(F258="Denied",_xlfn.XLOOKUP(D258,'[2]Denied Barcodes'!$A$2:$A$1048576,'[2]Denied Barcodes'!$B$2:$B$1048576,""),"")</f>
        <v>Denied, billed on customer dimensions</v>
      </c>
      <c r="H258" s="4" t="str">
        <f t="shared" ref="H258:H321" si="4">IF(I258&lt;0,"Credit",IF(I258&gt;0,"Debit",""))</f>
        <v/>
      </c>
      <c r="I258" s="6">
        <f>IF(F258="Approved",SUMIF([2]Recalc!A:A,D258,[2]Recalc!BX:BX),0)</f>
        <v>0</v>
      </c>
    </row>
    <row r="259" spans="1:9" x14ac:dyDescent="0.3">
      <c r="A259" s="5">
        <v>45949</v>
      </c>
      <c r="B259" s="4" t="s">
        <v>64</v>
      </c>
      <c r="C259" s="4"/>
      <c r="D259" s="4" t="s">
        <v>448</v>
      </c>
      <c r="E259" s="5">
        <v>45958</v>
      </c>
      <c r="F259" s="4" t="str">
        <f>IF(_xlfn.XLOOKUP(D259,[2]Recalc!A:A,[2]Recalc!A:A,"")=D259,"Approved","Denied")</f>
        <v>Denied</v>
      </c>
      <c r="G259" s="4" t="str">
        <f>IF(F259="Denied",_xlfn.XLOOKUP(D259,'[2]Denied Barcodes'!$A$2:$A$1048576,'[2]Denied Barcodes'!$B$2:$B$1048576,""),"")</f>
        <v>Denied, billed on customer dimensions</v>
      </c>
      <c r="H259" s="4" t="str">
        <f t="shared" si="4"/>
        <v/>
      </c>
      <c r="I259" s="6">
        <f>IF(F259="Approved",SUMIF([2]Recalc!A:A,D259,[2]Recalc!BX:BX),0)</f>
        <v>0</v>
      </c>
    </row>
    <row r="260" spans="1:9" x14ac:dyDescent="0.3">
      <c r="A260" s="5">
        <v>45949</v>
      </c>
      <c r="B260" s="4" t="s">
        <v>64</v>
      </c>
      <c r="C260" s="4"/>
      <c r="D260" s="4" t="s">
        <v>449</v>
      </c>
      <c r="E260" s="5">
        <v>45958</v>
      </c>
      <c r="F260" s="4" t="str">
        <f>IF(_xlfn.XLOOKUP(D260,[2]Recalc!A:A,[2]Recalc!A:A,"")=D260,"Approved","Denied")</f>
        <v>Denied</v>
      </c>
      <c r="G260" s="4" t="str">
        <f>IF(F260="Denied",_xlfn.XLOOKUP(D260,'[2]Denied Barcodes'!$A$2:$A$1048576,'[2]Denied Barcodes'!$B$2:$B$1048576,""),"")</f>
        <v>Denied, dimensions line up with vpod</v>
      </c>
      <c r="H260" s="4" t="str">
        <f t="shared" si="4"/>
        <v/>
      </c>
      <c r="I260" s="6">
        <f>IF(F260="Approved",SUMIF([2]Recalc!A:A,D260,[2]Recalc!BX:BX),0)</f>
        <v>0</v>
      </c>
    </row>
    <row r="261" spans="1:9" x14ac:dyDescent="0.3">
      <c r="A261" s="5">
        <v>45949</v>
      </c>
      <c r="B261" s="4" t="s">
        <v>64</v>
      </c>
      <c r="C261" s="4"/>
      <c r="D261" s="4" t="s">
        <v>450</v>
      </c>
      <c r="E261" s="5">
        <v>45958</v>
      </c>
      <c r="F261" s="4" t="str">
        <f>IF(_xlfn.XLOOKUP(D261,[2]Recalc!A:A,[2]Recalc!A:A,"")=D261,"Approved","Denied")</f>
        <v>Denied</v>
      </c>
      <c r="G261" s="4" t="str">
        <f>IF(F261="Denied",_xlfn.XLOOKUP(D261,'[2]Denied Barcodes'!$A$2:$A$1048576,'[2]Denied Barcodes'!$B$2:$B$1048576,""),"")</f>
        <v>Denied, dimensions line up with vpod</v>
      </c>
      <c r="H261" s="4" t="str">
        <f t="shared" si="4"/>
        <v/>
      </c>
      <c r="I261" s="6">
        <f>IF(F261="Approved",SUMIF([2]Recalc!A:A,D261,[2]Recalc!BX:BX),0)</f>
        <v>0</v>
      </c>
    </row>
    <row r="262" spans="1:9" x14ac:dyDescent="0.3">
      <c r="A262" s="5">
        <v>45949</v>
      </c>
      <c r="B262" s="4" t="s">
        <v>64</v>
      </c>
      <c r="C262" s="4"/>
      <c r="D262" s="4" t="s">
        <v>451</v>
      </c>
      <c r="E262" s="5">
        <v>45958</v>
      </c>
      <c r="F262" s="4" t="str">
        <f>IF(_xlfn.XLOOKUP(D262,[2]Recalc!A:A,[2]Recalc!A:A,"")=D262,"Approved","Denied")</f>
        <v>Denied</v>
      </c>
      <c r="G262" s="4" t="str">
        <f>IF(F262="Denied",_xlfn.XLOOKUP(D262,'[2]Denied Barcodes'!$A$2:$A$1048576,'[2]Denied Barcodes'!$B$2:$B$1048576,""),"")</f>
        <v>Denied, dimensions line up with vpod</v>
      </c>
      <c r="H262" s="4" t="str">
        <f t="shared" si="4"/>
        <v/>
      </c>
      <c r="I262" s="6">
        <f>IF(F262="Approved",SUMIF([2]Recalc!A:A,D262,[2]Recalc!BX:BX),0)</f>
        <v>0</v>
      </c>
    </row>
    <row r="263" spans="1:9" x14ac:dyDescent="0.3">
      <c r="A263" s="5">
        <v>45949</v>
      </c>
      <c r="B263" s="4" t="s">
        <v>64</v>
      </c>
      <c r="C263" s="4"/>
      <c r="D263" s="4" t="s">
        <v>452</v>
      </c>
      <c r="E263" s="5">
        <v>45958</v>
      </c>
      <c r="F263" s="4" t="str">
        <f>IF(_xlfn.XLOOKUP(D263,[2]Recalc!A:A,[2]Recalc!A:A,"")=D263,"Approved","Denied")</f>
        <v>Denied</v>
      </c>
      <c r="G263" s="4" t="str">
        <f>IF(F263="Denied",_xlfn.XLOOKUP(D263,'[2]Denied Barcodes'!$A$2:$A$1048576,'[2]Denied Barcodes'!$B$2:$B$1048576,""),"")</f>
        <v>Denied, dimensions line up with vpod</v>
      </c>
      <c r="H263" s="4" t="str">
        <f t="shared" si="4"/>
        <v/>
      </c>
      <c r="I263" s="6">
        <f>IF(F263="Approved",SUMIF([2]Recalc!A:A,D263,[2]Recalc!BX:BX),0)</f>
        <v>0</v>
      </c>
    </row>
    <row r="264" spans="1:9" x14ac:dyDescent="0.3">
      <c r="A264" s="5">
        <v>45949</v>
      </c>
      <c r="B264" s="4" t="s">
        <v>64</v>
      </c>
      <c r="C264" s="4"/>
      <c r="D264" s="4" t="s">
        <v>453</v>
      </c>
      <c r="E264" s="5">
        <v>45958</v>
      </c>
      <c r="F264" s="4" t="str">
        <f>IF(_xlfn.XLOOKUP(D264,[2]Recalc!A:A,[2]Recalc!A:A,"")=D264,"Approved","Denied")</f>
        <v>Denied</v>
      </c>
      <c r="G264" s="4" t="str">
        <f>IF(F264="Denied",_xlfn.XLOOKUP(D264,'[2]Denied Barcodes'!$A$2:$A$1048576,'[2]Denied Barcodes'!$B$2:$B$1048576,""),"")</f>
        <v>Denied, billed on customer dimensions</v>
      </c>
      <c r="H264" s="4" t="str">
        <f t="shared" si="4"/>
        <v/>
      </c>
      <c r="I264" s="6">
        <f>IF(F264="Approved",SUMIF([2]Recalc!A:A,D264,[2]Recalc!BX:BX),0)</f>
        <v>0</v>
      </c>
    </row>
    <row r="265" spans="1:9" x14ac:dyDescent="0.3">
      <c r="A265" s="5">
        <v>45949</v>
      </c>
      <c r="B265" s="4" t="s">
        <v>64</v>
      </c>
      <c r="C265" s="4"/>
      <c r="D265" s="4" t="s">
        <v>454</v>
      </c>
      <c r="E265" s="5">
        <v>45958</v>
      </c>
      <c r="F265" s="4" t="str">
        <f>IF(_xlfn.XLOOKUP(D265,[2]Recalc!A:A,[2]Recalc!A:A,"")=D265,"Approved","Denied")</f>
        <v>Denied</v>
      </c>
      <c r="G265" s="4" t="str">
        <f>IF(F265="Denied",_xlfn.XLOOKUP(D265,'[2]Denied Barcodes'!$A$2:$A$1048576,'[2]Denied Barcodes'!$B$2:$B$1048576,""),"")</f>
        <v>Denied, billed on customer dimensions</v>
      </c>
      <c r="H265" s="4" t="str">
        <f t="shared" si="4"/>
        <v/>
      </c>
      <c r="I265" s="6">
        <f>IF(F265="Approved",SUMIF([2]Recalc!A:A,D265,[2]Recalc!BX:BX),0)</f>
        <v>0</v>
      </c>
    </row>
    <row r="266" spans="1:9" x14ac:dyDescent="0.3">
      <c r="A266" s="5">
        <v>45949</v>
      </c>
      <c r="B266" s="4" t="s">
        <v>64</v>
      </c>
      <c r="C266" s="4"/>
      <c r="D266" s="4" t="s">
        <v>455</v>
      </c>
      <c r="E266" s="5">
        <v>45958</v>
      </c>
      <c r="F266" s="4" t="str">
        <f>IF(_xlfn.XLOOKUP(D266,[2]Recalc!A:A,[2]Recalc!A:A,"")=D266,"Approved","Denied")</f>
        <v>Denied</v>
      </c>
      <c r="G266" s="4" t="str">
        <f>IF(F266="Denied",_xlfn.XLOOKUP(D266,'[2]Denied Barcodes'!$A$2:$A$1048576,'[2]Denied Barcodes'!$B$2:$B$1048576,""),"")</f>
        <v>Denied, billed on customer dimensions</v>
      </c>
      <c r="H266" s="4" t="str">
        <f t="shared" si="4"/>
        <v/>
      </c>
      <c r="I266" s="6">
        <f>IF(F266="Approved",SUMIF([2]Recalc!A:A,D266,[2]Recalc!BX:BX),0)</f>
        <v>0</v>
      </c>
    </row>
    <row r="267" spans="1:9" x14ac:dyDescent="0.3">
      <c r="A267" s="5">
        <v>45949</v>
      </c>
      <c r="B267" s="4" t="s">
        <v>64</v>
      </c>
      <c r="C267" s="4"/>
      <c r="D267" s="4" t="s">
        <v>456</v>
      </c>
      <c r="E267" s="5">
        <v>45958</v>
      </c>
      <c r="F267" s="4" t="str">
        <f>IF(_xlfn.XLOOKUP(D267,[2]Recalc!A:A,[2]Recalc!A:A,"")=D267,"Approved","Denied")</f>
        <v>Denied</v>
      </c>
      <c r="G267" s="4" t="str">
        <f>IF(F267="Denied",_xlfn.XLOOKUP(D267,'[2]Denied Barcodes'!$A$2:$A$1048576,'[2]Denied Barcodes'!$B$2:$B$1048576,""),"")</f>
        <v>Denied, dimensions line up with vpod</v>
      </c>
      <c r="H267" s="4" t="str">
        <f t="shared" si="4"/>
        <v/>
      </c>
      <c r="I267" s="6">
        <f>IF(F267="Approved",SUMIF([2]Recalc!A:A,D267,[2]Recalc!BX:BX),0)</f>
        <v>0</v>
      </c>
    </row>
    <row r="268" spans="1:9" x14ac:dyDescent="0.3">
      <c r="A268" s="5">
        <v>45949</v>
      </c>
      <c r="B268" s="4" t="s">
        <v>64</v>
      </c>
      <c r="C268" s="4"/>
      <c r="D268" s="4" t="s">
        <v>457</v>
      </c>
      <c r="E268" s="5">
        <v>45958</v>
      </c>
      <c r="F268" s="4" t="str">
        <f>IF(_xlfn.XLOOKUP(D268,[2]Recalc!A:A,[2]Recalc!A:A,"")=D268,"Approved","Denied")</f>
        <v>Denied</v>
      </c>
      <c r="G268" s="4" t="str">
        <f>IF(F268="Denied",_xlfn.XLOOKUP(D268,'[2]Denied Barcodes'!$A$2:$A$1048576,'[2]Denied Barcodes'!$B$2:$B$1048576,""),"")</f>
        <v>Denied, billed on customer dimensions</v>
      </c>
      <c r="H268" s="4" t="str">
        <f t="shared" si="4"/>
        <v/>
      </c>
      <c r="I268" s="6">
        <f>IF(F268="Approved",SUMIF([2]Recalc!A:A,D268,[2]Recalc!BX:BX),0)</f>
        <v>0</v>
      </c>
    </row>
    <row r="269" spans="1:9" x14ac:dyDescent="0.3">
      <c r="A269" s="5">
        <v>45949</v>
      </c>
      <c r="B269" s="4" t="s">
        <v>64</v>
      </c>
      <c r="C269" s="4"/>
      <c r="D269" s="4" t="s">
        <v>458</v>
      </c>
      <c r="E269" s="5">
        <v>45958</v>
      </c>
      <c r="F269" s="4" t="str">
        <f>IF(_xlfn.XLOOKUP(D269,[2]Recalc!A:A,[2]Recalc!A:A,"")=D269,"Approved","Denied")</f>
        <v>Denied</v>
      </c>
      <c r="G269" s="4" t="str">
        <f>IF(F269="Denied",_xlfn.XLOOKUP(D269,'[2]Denied Barcodes'!$A$2:$A$1048576,'[2]Denied Barcodes'!$B$2:$B$1048576,""),"")</f>
        <v>Denied, billed on customer dimensions</v>
      </c>
      <c r="H269" s="4" t="str">
        <f t="shared" si="4"/>
        <v/>
      </c>
      <c r="I269" s="6">
        <f>IF(F269="Approved",SUMIF([2]Recalc!A:A,D269,[2]Recalc!BX:BX),0)</f>
        <v>0</v>
      </c>
    </row>
    <row r="270" spans="1:9" x14ac:dyDescent="0.3">
      <c r="A270" s="5">
        <v>45949</v>
      </c>
      <c r="B270" s="4" t="s">
        <v>64</v>
      </c>
      <c r="C270" s="4"/>
      <c r="D270" s="4" t="s">
        <v>459</v>
      </c>
      <c r="E270" s="5">
        <v>45958</v>
      </c>
      <c r="F270" s="4" t="str">
        <f>IF(_xlfn.XLOOKUP(D270,[2]Recalc!A:A,[2]Recalc!A:A,"")=D270,"Approved","Denied")</f>
        <v>Denied</v>
      </c>
      <c r="G270" s="4" t="str">
        <f>IF(F270="Denied",_xlfn.XLOOKUP(D270,'[2]Denied Barcodes'!$A$2:$A$1048576,'[2]Denied Barcodes'!$B$2:$B$1048576,""),"")</f>
        <v>Denied, dimensions line up with vpod</v>
      </c>
      <c r="H270" s="4" t="str">
        <f t="shared" si="4"/>
        <v/>
      </c>
      <c r="I270" s="6">
        <f>IF(F270="Approved",SUMIF([2]Recalc!A:A,D270,[2]Recalc!BX:BX),0)</f>
        <v>0</v>
      </c>
    </row>
    <row r="271" spans="1:9" x14ac:dyDescent="0.3">
      <c r="A271" s="5">
        <v>45949</v>
      </c>
      <c r="B271" s="4" t="s">
        <v>64</v>
      </c>
      <c r="C271" s="4"/>
      <c r="D271" s="4" t="s">
        <v>460</v>
      </c>
      <c r="E271" s="5">
        <v>45958</v>
      </c>
      <c r="F271" s="4" t="str">
        <f>IF(_xlfn.XLOOKUP(D271,[2]Recalc!A:A,[2]Recalc!A:A,"")=D271,"Approved","Denied")</f>
        <v>Denied</v>
      </c>
      <c r="G271" s="4" t="str">
        <f>IF(F271="Denied",_xlfn.XLOOKUP(D271,'[2]Denied Barcodes'!$A$2:$A$1048576,'[2]Denied Barcodes'!$B$2:$B$1048576,""),"")</f>
        <v>Denied, billed on customer dimensions</v>
      </c>
      <c r="H271" s="4" t="str">
        <f t="shared" si="4"/>
        <v/>
      </c>
      <c r="I271" s="6">
        <f>IF(F271="Approved",SUMIF([2]Recalc!A:A,D271,[2]Recalc!BX:BX),0)</f>
        <v>0</v>
      </c>
    </row>
    <row r="272" spans="1:9" x14ac:dyDescent="0.3">
      <c r="A272" s="5">
        <v>45949</v>
      </c>
      <c r="B272" s="4" t="s">
        <v>64</v>
      </c>
      <c r="C272" s="4"/>
      <c r="D272" s="4" t="s">
        <v>461</v>
      </c>
      <c r="E272" s="5">
        <v>45958</v>
      </c>
      <c r="F272" s="4" t="str">
        <f>IF(_xlfn.XLOOKUP(D272,[2]Recalc!A:A,[2]Recalc!A:A,"")=D272,"Approved","Denied")</f>
        <v>Denied</v>
      </c>
      <c r="G272" s="4" t="str">
        <f>IF(F272="Denied",_xlfn.XLOOKUP(D272,'[2]Denied Barcodes'!$A$2:$A$1048576,'[2]Denied Barcodes'!$B$2:$B$1048576,""),"")</f>
        <v>Denied, dimensions line up with vpod</v>
      </c>
      <c r="H272" s="4" t="str">
        <f t="shared" si="4"/>
        <v/>
      </c>
      <c r="I272" s="6">
        <f>IF(F272="Approved",SUMIF([2]Recalc!A:A,D272,[2]Recalc!BX:BX),0)</f>
        <v>0</v>
      </c>
    </row>
    <row r="273" spans="1:9" x14ac:dyDescent="0.3">
      <c r="A273" s="5">
        <v>45949</v>
      </c>
      <c r="B273" s="4" t="s">
        <v>64</v>
      </c>
      <c r="C273" s="4"/>
      <c r="D273" s="4" t="s">
        <v>462</v>
      </c>
      <c r="E273" s="5">
        <v>45958</v>
      </c>
      <c r="F273" s="4" t="str">
        <f>IF(_xlfn.XLOOKUP(D273,[2]Recalc!A:A,[2]Recalc!A:A,"")=D273,"Approved","Denied")</f>
        <v>Denied</v>
      </c>
      <c r="G273" s="4" t="str">
        <f>IF(F273="Denied",_xlfn.XLOOKUP(D273,'[2]Denied Barcodes'!$A$2:$A$1048576,'[2]Denied Barcodes'!$B$2:$B$1048576,""),"")</f>
        <v>Denied, dimensions line up with vpod</v>
      </c>
      <c r="H273" s="4" t="str">
        <f t="shared" si="4"/>
        <v/>
      </c>
      <c r="I273" s="6">
        <f>IF(F273="Approved",SUMIF([2]Recalc!A:A,D273,[2]Recalc!BX:BX),0)</f>
        <v>0</v>
      </c>
    </row>
    <row r="274" spans="1:9" x14ac:dyDescent="0.3">
      <c r="A274" s="5">
        <v>45949</v>
      </c>
      <c r="B274" s="4" t="s">
        <v>64</v>
      </c>
      <c r="C274" s="4"/>
      <c r="D274" s="4" t="s">
        <v>463</v>
      </c>
      <c r="E274" s="5">
        <v>45958</v>
      </c>
      <c r="F274" s="4" t="str">
        <f>IF(_xlfn.XLOOKUP(D274,[2]Recalc!A:A,[2]Recalc!A:A,"")=D274,"Approved","Denied")</f>
        <v>Denied</v>
      </c>
      <c r="G274" s="4" t="str">
        <f>IF(F274="Denied",_xlfn.XLOOKUP(D274,'[2]Denied Barcodes'!$A$2:$A$1048576,'[2]Denied Barcodes'!$B$2:$B$1048576,""),"")</f>
        <v>Denied, dimensions line up with vpod</v>
      </c>
      <c r="H274" s="4" t="str">
        <f t="shared" si="4"/>
        <v/>
      </c>
      <c r="I274" s="6">
        <f>IF(F274="Approved",SUMIF([2]Recalc!A:A,D274,[2]Recalc!BX:BX),0)</f>
        <v>0</v>
      </c>
    </row>
    <row r="275" spans="1:9" x14ac:dyDescent="0.3">
      <c r="A275" s="5">
        <v>45949</v>
      </c>
      <c r="B275" s="4" t="s">
        <v>64</v>
      </c>
      <c r="C275" s="4"/>
      <c r="D275" s="4" t="s">
        <v>464</v>
      </c>
      <c r="E275" s="5">
        <v>45958</v>
      </c>
      <c r="F275" s="4" t="str">
        <f>IF(_xlfn.XLOOKUP(D275,[2]Recalc!A:A,[2]Recalc!A:A,"")=D275,"Approved","Denied")</f>
        <v>Denied</v>
      </c>
      <c r="G275" s="4" t="str">
        <f>IF(F275="Denied",_xlfn.XLOOKUP(D275,'[2]Denied Barcodes'!$A$2:$A$1048576,'[2]Denied Barcodes'!$B$2:$B$1048576,""),"")</f>
        <v>Denied, customer dimensions meet girth definition for AH</v>
      </c>
      <c r="H275" s="4" t="str">
        <f t="shared" si="4"/>
        <v/>
      </c>
      <c r="I275" s="6">
        <f>IF(F275="Approved",SUMIF([2]Recalc!A:A,D275,[2]Recalc!BX:BX),0)</f>
        <v>0</v>
      </c>
    </row>
    <row r="276" spans="1:9" x14ac:dyDescent="0.3">
      <c r="A276" s="5">
        <v>45949</v>
      </c>
      <c r="B276" s="4" t="s">
        <v>64</v>
      </c>
      <c r="C276" s="4"/>
      <c r="D276" s="4" t="s">
        <v>465</v>
      </c>
      <c r="E276" s="5">
        <v>45958</v>
      </c>
      <c r="F276" s="4" t="str">
        <f>IF(_xlfn.XLOOKUP(D276,[2]Recalc!A:A,[2]Recalc!A:A,"")=D276,"Approved","Denied")</f>
        <v>Denied</v>
      </c>
      <c r="G276" s="4" t="str">
        <f>IF(F276="Denied",_xlfn.XLOOKUP(D276,'[2]Denied Barcodes'!$A$2:$A$1048576,'[2]Denied Barcodes'!$B$2:$B$1048576,""),"")</f>
        <v>Denied, billed on customer dimensions</v>
      </c>
      <c r="H276" s="4" t="str">
        <f t="shared" si="4"/>
        <v/>
      </c>
      <c r="I276" s="6">
        <f>IF(F276="Approved",SUMIF([2]Recalc!A:A,D276,[2]Recalc!BX:BX),0)</f>
        <v>0</v>
      </c>
    </row>
    <row r="277" spans="1:9" x14ac:dyDescent="0.3">
      <c r="A277" s="5">
        <v>45949</v>
      </c>
      <c r="B277" s="4" t="s">
        <v>64</v>
      </c>
      <c r="C277" s="4"/>
      <c r="D277" s="4" t="s">
        <v>466</v>
      </c>
      <c r="E277" s="5">
        <v>45958</v>
      </c>
      <c r="F277" s="4" t="str">
        <f>IF(_xlfn.XLOOKUP(D277,[2]Recalc!A:A,[2]Recalc!A:A,"")=D277,"Approved","Denied")</f>
        <v>Denied</v>
      </c>
      <c r="G277" s="4" t="str">
        <f>IF(F277="Denied",_xlfn.XLOOKUP(D277,'[2]Denied Barcodes'!$A$2:$A$1048576,'[2]Denied Barcodes'!$B$2:$B$1048576,""),"")</f>
        <v>Denied, dimensions line up with vpod</v>
      </c>
      <c r="H277" s="4" t="str">
        <f t="shared" si="4"/>
        <v/>
      </c>
      <c r="I277" s="6">
        <f>IF(F277="Approved",SUMIF([2]Recalc!A:A,D277,[2]Recalc!BX:BX),0)</f>
        <v>0</v>
      </c>
    </row>
    <row r="278" spans="1:9" x14ac:dyDescent="0.3">
      <c r="A278" s="5">
        <v>45949</v>
      </c>
      <c r="B278" s="4" t="s">
        <v>64</v>
      </c>
      <c r="C278" s="4"/>
      <c r="D278" s="4" t="s">
        <v>467</v>
      </c>
      <c r="E278" s="5">
        <v>45958</v>
      </c>
      <c r="F278" s="4" t="str">
        <f>IF(_xlfn.XLOOKUP(D278,[2]Recalc!A:A,[2]Recalc!A:A,"")=D278,"Approved","Denied")</f>
        <v>Denied</v>
      </c>
      <c r="G278" s="4" t="str">
        <f>IF(F278="Denied",_xlfn.XLOOKUP(D278,'[2]Denied Barcodes'!$A$2:$A$1048576,'[2]Denied Barcodes'!$B$2:$B$1048576,""),"")</f>
        <v>Denied, dimensions line up with vpod</v>
      </c>
      <c r="H278" s="4" t="str">
        <f t="shared" si="4"/>
        <v/>
      </c>
      <c r="I278" s="6">
        <f>IF(F278="Approved",SUMIF([2]Recalc!A:A,D278,[2]Recalc!BX:BX),0)</f>
        <v>0</v>
      </c>
    </row>
    <row r="279" spans="1:9" x14ac:dyDescent="0.3">
      <c r="A279" s="5">
        <v>45949</v>
      </c>
      <c r="B279" s="4" t="s">
        <v>64</v>
      </c>
      <c r="C279" s="4"/>
      <c r="D279" s="4" t="s">
        <v>468</v>
      </c>
      <c r="E279" s="5">
        <v>45958</v>
      </c>
      <c r="F279" s="4" t="str">
        <f>IF(_xlfn.XLOOKUP(D279,[2]Recalc!A:A,[2]Recalc!A:A,"")=D279,"Approved","Denied")</f>
        <v>Denied</v>
      </c>
      <c r="G279" s="4" t="str">
        <f>IF(F279="Denied",_xlfn.XLOOKUP(D279,'[2]Denied Barcodes'!$A$2:$A$1048576,'[2]Denied Barcodes'!$B$2:$B$1048576,""),"")</f>
        <v>Denied, billed on customer dimensions</v>
      </c>
      <c r="H279" s="4" t="str">
        <f t="shared" si="4"/>
        <v/>
      </c>
      <c r="I279" s="6">
        <f>IF(F279="Approved",SUMIF([2]Recalc!A:A,D279,[2]Recalc!BX:BX),0)</f>
        <v>0</v>
      </c>
    </row>
    <row r="280" spans="1:9" x14ac:dyDescent="0.3">
      <c r="A280" s="5">
        <v>45949</v>
      </c>
      <c r="B280" s="4" t="s">
        <v>64</v>
      </c>
      <c r="C280" s="4"/>
      <c r="D280" s="4" t="s">
        <v>469</v>
      </c>
      <c r="E280" s="5">
        <v>45958</v>
      </c>
      <c r="F280" s="4" t="str">
        <f>IF(_xlfn.XLOOKUP(D280,[2]Recalc!A:A,[2]Recalc!A:A,"")=D280,"Approved","Denied")</f>
        <v>Denied</v>
      </c>
      <c r="G280" s="4" t="str">
        <f>IF(F280="Denied",_xlfn.XLOOKUP(D280,'[2]Denied Barcodes'!$A$2:$A$1048576,'[2]Denied Barcodes'!$B$2:$B$1048576,""),"")</f>
        <v>Denied, billed on customer dimensions</v>
      </c>
      <c r="H280" s="4" t="str">
        <f t="shared" si="4"/>
        <v/>
      </c>
      <c r="I280" s="6">
        <f>IF(F280="Approved",SUMIF([2]Recalc!A:A,D280,[2]Recalc!BX:BX),0)</f>
        <v>0</v>
      </c>
    </row>
    <row r="281" spans="1:9" x14ac:dyDescent="0.3">
      <c r="A281" s="5">
        <v>45949</v>
      </c>
      <c r="B281" s="4" t="s">
        <v>64</v>
      </c>
      <c r="C281" s="4"/>
      <c r="D281" s="4" t="s">
        <v>470</v>
      </c>
      <c r="E281" s="5">
        <v>45958</v>
      </c>
      <c r="F281" s="4" t="str">
        <f>IF(_xlfn.XLOOKUP(D281,[2]Recalc!A:A,[2]Recalc!A:A,"")=D281,"Approved","Denied")</f>
        <v>Denied</v>
      </c>
      <c r="G281" s="4" t="str">
        <f>IF(F281="Denied",_xlfn.XLOOKUP(D281,'[2]Denied Barcodes'!$A$2:$A$1048576,'[2]Denied Barcodes'!$B$2:$B$1048576,""),"")</f>
        <v>Denied, billed on customer dimensions</v>
      </c>
      <c r="H281" s="4" t="str">
        <f t="shared" si="4"/>
        <v/>
      </c>
      <c r="I281" s="6">
        <f>IF(F281="Approved",SUMIF([2]Recalc!A:A,D281,[2]Recalc!BX:BX),0)</f>
        <v>0</v>
      </c>
    </row>
    <row r="282" spans="1:9" x14ac:dyDescent="0.3">
      <c r="A282" s="5">
        <v>45949</v>
      </c>
      <c r="B282" s="4" t="s">
        <v>64</v>
      </c>
      <c r="C282" s="4"/>
      <c r="D282" s="4" t="s">
        <v>471</v>
      </c>
      <c r="E282" s="5">
        <v>45958</v>
      </c>
      <c r="F282" s="4" t="str">
        <f>IF(_xlfn.XLOOKUP(D282,[2]Recalc!A:A,[2]Recalc!A:A,"")=D282,"Approved","Denied")</f>
        <v>Denied</v>
      </c>
      <c r="G282" s="4" t="str">
        <f>IF(F282="Denied",_xlfn.XLOOKUP(D282,'[2]Denied Barcodes'!$A$2:$A$1048576,'[2]Denied Barcodes'!$B$2:$B$1048576,""),"")</f>
        <v>Denied, dimensions line up with vpod</v>
      </c>
      <c r="H282" s="4" t="str">
        <f t="shared" si="4"/>
        <v/>
      </c>
      <c r="I282" s="6">
        <f>IF(F282="Approved",SUMIF([2]Recalc!A:A,D282,[2]Recalc!BX:BX),0)</f>
        <v>0</v>
      </c>
    </row>
    <row r="283" spans="1:9" x14ac:dyDescent="0.3">
      <c r="A283" s="5">
        <v>45949</v>
      </c>
      <c r="B283" s="4" t="s">
        <v>64</v>
      </c>
      <c r="C283" s="4"/>
      <c r="D283" s="4" t="s">
        <v>472</v>
      </c>
      <c r="E283" s="5">
        <v>45958</v>
      </c>
      <c r="F283" s="4" t="str">
        <f>IF(_xlfn.XLOOKUP(D283,[2]Recalc!A:A,[2]Recalc!A:A,"")=D283,"Approved","Denied")</f>
        <v>Denied</v>
      </c>
      <c r="G283" s="4" t="str">
        <f>IF(F283="Denied",_xlfn.XLOOKUP(D283,'[2]Denied Barcodes'!$A$2:$A$1048576,'[2]Denied Barcodes'!$B$2:$B$1048576,""),"")</f>
        <v>Denied, customer dimensions meet girth definition for AH</v>
      </c>
      <c r="H283" s="4" t="str">
        <f t="shared" si="4"/>
        <v/>
      </c>
      <c r="I283" s="6">
        <f>IF(F283="Approved",SUMIF([2]Recalc!A:A,D283,[2]Recalc!BX:BX),0)</f>
        <v>0</v>
      </c>
    </row>
    <row r="284" spans="1:9" x14ac:dyDescent="0.3">
      <c r="A284" s="5">
        <v>45949</v>
      </c>
      <c r="B284" s="4" t="s">
        <v>64</v>
      </c>
      <c r="C284" s="4"/>
      <c r="D284" s="4" t="s">
        <v>473</v>
      </c>
      <c r="E284" s="5">
        <v>45958</v>
      </c>
      <c r="F284" s="4" t="str">
        <f>IF(_xlfn.XLOOKUP(D284,[2]Recalc!A:A,[2]Recalc!A:A,"")=D284,"Approved","Denied")</f>
        <v>Denied</v>
      </c>
      <c r="G284" s="4" t="str">
        <f>IF(F284="Denied",_xlfn.XLOOKUP(D284,'[2]Denied Barcodes'!$A$2:$A$1048576,'[2]Denied Barcodes'!$B$2:$B$1048576,""),"")</f>
        <v>Denied, dimensions line up with vpod</v>
      </c>
      <c r="H284" s="4" t="str">
        <f t="shared" si="4"/>
        <v/>
      </c>
      <c r="I284" s="6">
        <f>IF(F284="Approved",SUMIF([2]Recalc!A:A,D284,[2]Recalc!BX:BX),0)</f>
        <v>0</v>
      </c>
    </row>
    <row r="285" spans="1:9" x14ac:dyDescent="0.3">
      <c r="A285" s="5">
        <v>45949</v>
      </c>
      <c r="B285" s="4" t="s">
        <v>64</v>
      </c>
      <c r="C285" s="4"/>
      <c r="D285" s="4" t="s">
        <v>474</v>
      </c>
      <c r="E285" s="5">
        <v>45958</v>
      </c>
      <c r="F285" s="4" t="str">
        <f>IF(_xlfn.XLOOKUP(D285,[2]Recalc!A:A,[2]Recalc!A:A,"")=D285,"Approved","Denied")</f>
        <v>Denied</v>
      </c>
      <c r="G285" s="4" t="str">
        <f>IF(F285="Denied",_xlfn.XLOOKUP(D285,'[2]Denied Barcodes'!$A$2:$A$1048576,'[2]Denied Barcodes'!$B$2:$B$1048576,""),"")</f>
        <v>Denied, customer dimensions meet girth definition for AH</v>
      </c>
      <c r="H285" s="4" t="str">
        <f t="shared" si="4"/>
        <v/>
      </c>
      <c r="I285" s="6">
        <f>IF(F285="Approved",SUMIF([2]Recalc!A:A,D285,[2]Recalc!BX:BX),0)</f>
        <v>0</v>
      </c>
    </row>
    <row r="286" spans="1:9" x14ac:dyDescent="0.3">
      <c r="A286" s="5">
        <v>45949</v>
      </c>
      <c r="B286" s="4" t="s">
        <v>64</v>
      </c>
      <c r="C286" s="4"/>
      <c r="D286" s="4" t="s">
        <v>475</v>
      </c>
      <c r="E286" s="5">
        <v>45958</v>
      </c>
      <c r="F286" s="4" t="str">
        <f>IF(_xlfn.XLOOKUP(D286,[2]Recalc!A:A,[2]Recalc!A:A,"")=D286,"Approved","Denied")</f>
        <v>Denied</v>
      </c>
      <c r="G286" s="4" t="str">
        <f>IF(F286="Denied",_xlfn.XLOOKUP(D286,'[2]Denied Barcodes'!$A$2:$A$1048576,'[2]Denied Barcodes'!$B$2:$B$1048576,""),"")</f>
        <v>Denied, billed on customer dimensions</v>
      </c>
      <c r="H286" s="4" t="str">
        <f t="shared" si="4"/>
        <v/>
      </c>
      <c r="I286" s="6">
        <f>IF(F286="Approved",SUMIF([2]Recalc!A:A,D286,[2]Recalc!BX:BX),0)</f>
        <v>0</v>
      </c>
    </row>
    <row r="287" spans="1:9" x14ac:dyDescent="0.3">
      <c r="A287" s="5">
        <v>45949</v>
      </c>
      <c r="B287" s="4" t="s">
        <v>64</v>
      </c>
      <c r="C287" s="4"/>
      <c r="D287" s="4" t="s">
        <v>476</v>
      </c>
      <c r="E287" s="5">
        <v>45958</v>
      </c>
      <c r="F287" s="4" t="str">
        <f>IF(_xlfn.XLOOKUP(D287,[2]Recalc!A:A,[2]Recalc!A:A,"")=D287,"Approved","Denied")</f>
        <v>Denied</v>
      </c>
      <c r="G287" s="4" t="str">
        <f>IF(F287="Denied",_xlfn.XLOOKUP(D287,'[2]Denied Barcodes'!$A$2:$A$1048576,'[2]Denied Barcodes'!$B$2:$B$1048576,""),"")</f>
        <v>Denied, billed on customer dimensions</v>
      </c>
      <c r="H287" s="4" t="str">
        <f t="shared" si="4"/>
        <v/>
      </c>
      <c r="I287" s="6">
        <f>IF(F287="Approved",SUMIF([2]Recalc!A:A,D287,[2]Recalc!BX:BX),0)</f>
        <v>0</v>
      </c>
    </row>
    <row r="288" spans="1:9" x14ac:dyDescent="0.3">
      <c r="A288" s="5">
        <v>45949</v>
      </c>
      <c r="B288" s="4" t="s">
        <v>64</v>
      </c>
      <c r="C288" s="4"/>
      <c r="D288" s="4" t="s">
        <v>477</v>
      </c>
      <c r="E288" s="5">
        <v>45958</v>
      </c>
      <c r="F288" s="4" t="str">
        <f>IF(_xlfn.XLOOKUP(D288,[2]Recalc!A:A,[2]Recalc!A:A,"")=D288,"Approved","Denied")</f>
        <v>Denied</v>
      </c>
      <c r="G288" s="4" t="str">
        <f>IF(F288="Denied",_xlfn.XLOOKUP(D288,'[2]Denied Barcodes'!$A$2:$A$1048576,'[2]Denied Barcodes'!$B$2:$B$1048576,""),"")</f>
        <v>Denied, billed on customer dimensions</v>
      </c>
      <c r="H288" s="4" t="str">
        <f t="shared" si="4"/>
        <v/>
      </c>
      <c r="I288" s="6">
        <f>IF(F288="Approved",SUMIF([2]Recalc!A:A,D288,[2]Recalc!BX:BX),0)</f>
        <v>0</v>
      </c>
    </row>
    <row r="289" spans="1:9" x14ac:dyDescent="0.3">
      <c r="A289" s="5">
        <v>45949</v>
      </c>
      <c r="B289" s="4" t="s">
        <v>64</v>
      </c>
      <c r="C289" s="4"/>
      <c r="D289" s="4" t="s">
        <v>478</v>
      </c>
      <c r="E289" s="5">
        <v>45958</v>
      </c>
      <c r="F289" s="4" t="str">
        <f>IF(_xlfn.XLOOKUP(D289,[2]Recalc!A:A,[2]Recalc!A:A,"")=D289,"Approved","Denied")</f>
        <v>Denied</v>
      </c>
      <c r="G289" s="4" t="str">
        <f>IF(F289="Denied",_xlfn.XLOOKUP(D289,'[2]Denied Barcodes'!$A$2:$A$1048576,'[2]Denied Barcodes'!$B$2:$B$1048576,""),"")</f>
        <v>Denied, dimensions line up with vpod</v>
      </c>
      <c r="H289" s="4" t="str">
        <f t="shared" si="4"/>
        <v/>
      </c>
      <c r="I289" s="6">
        <f>IF(F289="Approved",SUMIF([2]Recalc!A:A,D289,[2]Recalc!BX:BX),0)</f>
        <v>0</v>
      </c>
    </row>
    <row r="290" spans="1:9" x14ac:dyDescent="0.3">
      <c r="A290" s="5">
        <v>45949</v>
      </c>
      <c r="B290" s="4" t="s">
        <v>64</v>
      </c>
      <c r="C290" s="4"/>
      <c r="D290" s="4" t="s">
        <v>479</v>
      </c>
      <c r="E290" s="5">
        <v>45958</v>
      </c>
      <c r="F290" s="4" t="str">
        <f>IF(_xlfn.XLOOKUP(D290,[2]Recalc!A:A,[2]Recalc!A:A,"")=D290,"Approved","Denied")</f>
        <v>Denied</v>
      </c>
      <c r="G290" s="4" t="str">
        <f>IF(F290="Denied",_xlfn.XLOOKUP(D290,'[2]Denied Barcodes'!$A$2:$A$1048576,'[2]Denied Barcodes'!$B$2:$B$1048576,""),"")</f>
        <v>Denied, dimensions line up with vpod</v>
      </c>
      <c r="H290" s="4" t="str">
        <f t="shared" si="4"/>
        <v/>
      </c>
      <c r="I290" s="6">
        <f>IF(F290="Approved",SUMIF([2]Recalc!A:A,D290,[2]Recalc!BX:BX),0)</f>
        <v>0</v>
      </c>
    </row>
    <row r="291" spans="1:9" x14ac:dyDescent="0.3">
      <c r="A291" s="5">
        <v>45949</v>
      </c>
      <c r="B291" s="4" t="s">
        <v>64</v>
      </c>
      <c r="C291" s="4"/>
      <c r="D291" s="4" t="s">
        <v>480</v>
      </c>
      <c r="E291" s="5">
        <v>45958</v>
      </c>
      <c r="F291" s="4" t="str">
        <f>IF(_xlfn.XLOOKUP(D291,[2]Recalc!A:A,[2]Recalc!A:A,"")=D291,"Approved","Denied")</f>
        <v>Denied</v>
      </c>
      <c r="G291" s="4" t="str">
        <f>IF(F291="Denied",_xlfn.XLOOKUP(D291,'[2]Denied Barcodes'!$A$2:$A$1048576,'[2]Denied Barcodes'!$B$2:$B$1048576,""),"")</f>
        <v>Denied, billed on customer dimensions</v>
      </c>
      <c r="H291" s="4" t="str">
        <f t="shared" si="4"/>
        <v/>
      </c>
      <c r="I291" s="6">
        <f>IF(F291="Approved",SUMIF([2]Recalc!A:A,D291,[2]Recalc!BX:BX),0)</f>
        <v>0</v>
      </c>
    </row>
    <row r="292" spans="1:9" x14ac:dyDescent="0.3">
      <c r="A292" s="5">
        <v>45949</v>
      </c>
      <c r="B292" s="4" t="s">
        <v>64</v>
      </c>
      <c r="C292" s="4"/>
      <c r="D292" s="4" t="s">
        <v>481</v>
      </c>
      <c r="E292" s="5">
        <v>45958</v>
      </c>
      <c r="F292" s="4" t="str">
        <f>IF(_xlfn.XLOOKUP(D292,[2]Recalc!A:A,[2]Recalc!A:A,"")=D292,"Approved","Denied")</f>
        <v>Denied</v>
      </c>
      <c r="G292" s="4" t="str">
        <f>IF(F292="Denied",_xlfn.XLOOKUP(D292,'[2]Denied Barcodes'!$A$2:$A$1048576,'[2]Denied Barcodes'!$B$2:$B$1048576,""),"")</f>
        <v>Denied, dimensions line up with vpod</v>
      </c>
      <c r="H292" s="4" t="str">
        <f t="shared" si="4"/>
        <v/>
      </c>
      <c r="I292" s="6">
        <f>IF(F292="Approved",SUMIF([2]Recalc!A:A,D292,[2]Recalc!BX:BX),0)</f>
        <v>0</v>
      </c>
    </row>
    <row r="293" spans="1:9" x14ac:dyDescent="0.3">
      <c r="A293" s="5">
        <v>45949</v>
      </c>
      <c r="B293" s="4" t="s">
        <v>64</v>
      </c>
      <c r="C293" s="4"/>
      <c r="D293" s="4" t="s">
        <v>482</v>
      </c>
      <c r="E293" s="5">
        <v>45958</v>
      </c>
      <c r="F293" s="4" t="str">
        <f>IF(_xlfn.XLOOKUP(D293,[2]Recalc!A:A,[2]Recalc!A:A,"")=D293,"Approved","Denied")</f>
        <v>Denied</v>
      </c>
      <c r="G293" s="4" t="str">
        <f>IF(F293="Denied",_xlfn.XLOOKUP(D293,'[2]Denied Barcodes'!$A$2:$A$1048576,'[2]Denied Barcodes'!$B$2:$B$1048576,""),"")</f>
        <v>Denied, dimensions line up with vpod</v>
      </c>
      <c r="H293" s="4" t="str">
        <f t="shared" si="4"/>
        <v/>
      </c>
      <c r="I293" s="6">
        <f>IF(F293="Approved",SUMIF([2]Recalc!A:A,D293,[2]Recalc!BX:BX),0)</f>
        <v>0</v>
      </c>
    </row>
    <row r="294" spans="1:9" x14ac:dyDescent="0.3">
      <c r="A294" s="5">
        <v>45949</v>
      </c>
      <c r="B294" s="4" t="s">
        <v>64</v>
      </c>
      <c r="C294" s="4"/>
      <c r="D294" s="4" t="s">
        <v>483</v>
      </c>
      <c r="E294" s="5">
        <v>45958</v>
      </c>
      <c r="F294" s="4" t="str">
        <f>IF(_xlfn.XLOOKUP(D294,[2]Recalc!A:A,[2]Recalc!A:A,"")=D294,"Approved","Denied")</f>
        <v>Denied</v>
      </c>
      <c r="G294" s="4" t="str">
        <f>IF(F294="Denied",_xlfn.XLOOKUP(D294,'[2]Denied Barcodes'!$A$2:$A$1048576,'[2]Denied Barcodes'!$B$2:$B$1048576,""),"")</f>
        <v>Denied, billed on customer dimensions</v>
      </c>
      <c r="H294" s="4" t="str">
        <f t="shared" si="4"/>
        <v/>
      </c>
      <c r="I294" s="6">
        <f>IF(F294="Approved",SUMIF([2]Recalc!A:A,D294,[2]Recalc!BX:BX),0)</f>
        <v>0</v>
      </c>
    </row>
    <row r="295" spans="1:9" x14ac:dyDescent="0.3">
      <c r="A295" s="5">
        <v>45949</v>
      </c>
      <c r="B295" s="4" t="s">
        <v>64</v>
      </c>
      <c r="C295" s="4"/>
      <c r="D295" s="4" t="s">
        <v>484</v>
      </c>
      <c r="E295" s="5">
        <v>45958</v>
      </c>
      <c r="F295" s="4" t="str">
        <f>IF(_xlfn.XLOOKUP(D295,[2]Recalc!A:A,[2]Recalc!A:A,"")=D295,"Approved","Denied")</f>
        <v>Denied</v>
      </c>
      <c r="G295" s="4" t="str">
        <f>IF(F295="Denied",_xlfn.XLOOKUP(D295,'[2]Denied Barcodes'!$A$2:$A$1048576,'[2]Denied Barcodes'!$B$2:$B$1048576,""),"")</f>
        <v>Denied, billed on customer dimensions</v>
      </c>
      <c r="H295" s="4" t="str">
        <f t="shared" si="4"/>
        <v/>
      </c>
      <c r="I295" s="6">
        <f>IF(F295="Approved",SUMIF([2]Recalc!A:A,D295,[2]Recalc!BX:BX),0)</f>
        <v>0</v>
      </c>
    </row>
    <row r="296" spans="1:9" x14ac:dyDescent="0.3">
      <c r="A296" s="5">
        <v>45949</v>
      </c>
      <c r="B296" s="4" t="s">
        <v>64</v>
      </c>
      <c r="C296" s="4"/>
      <c r="D296" s="4" t="s">
        <v>485</v>
      </c>
      <c r="E296" s="5">
        <v>45958</v>
      </c>
      <c r="F296" s="4" t="str">
        <f>IF(_xlfn.XLOOKUP(D296,[2]Recalc!A:A,[2]Recalc!A:A,"")=D296,"Approved","Denied")</f>
        <v>Denied</v>
      </c>
      <c r="G296" s="4" t="str">
        <f>IF(F296="Denied",_xlfn.XLOOKUP(D296,'[2]Denied Barcodes'!$A$2:$A$1048576,'[2]Denied Barcodes'!$B$2:$B$1048576,""),"")</f>
        <v>Denied, dimensions line up with vpod</v>
      </c>
      <c r="H296" s="4" t="str">
        <f t="shared" si="4"/>
        <v/>
      </c>
      <c r="I296" s="6">
        <f>IF(F296="Approved",SUMIF([2]Recalc!A:A,D296,[2]Recalc!BX:BX),0)</f>
        <v>0</v>
      </c>
    </row>
    <row r="297" spans="1:9" x14ac:dyDescent="0.3">
      <c r="A297" s="5">
        <v>45949</v>
      </c>
      <c r="B297" s="4" t="s">
        <v>64</v>
      </c>
      <c r="C297" s="4"/>
      <c r="D297" s="4" t="s">
        <v>486</v>
      </c>
      <c r="E297" s="5">
        <v>45958</v>
      </c>
      <c r="F297" s="4" t="str">
        <f>IF(_xlfn.XLOOKUP(D297,[2]Recalc!A:A,[2]Recalc!A:A,"")=D297,"Approved","Denied")</f>
        <v>Denied</v>
      </c>
      <c r="G297" s="4" t="str">
        <f>IF(F297="Denied",_xlfn.XLOOKUP(D297,'[2]Denied Barcodes'!$A$2:$A$1048576,'[2]Denied Barcodes'!$B$2:$B$1048576,""),"")</f>
        <v>Denied, dimensions line up with vpod</v>
      </c>
      <c r="H297" s="4" t="str">
        <f t="shared" si="4"/>
        <v/>
      </c>
      <c r="I297" s="6">
        <f>IF(F297="Approved",SUMIF([2]Recalc!A:A,D297,[2]Recalc!BX:BX),0)</f>
        <v>0</v>
      </c>
    </row>
    <row r="298" spans="1:9" x14ac:dyDescent="0.3">
      <c r="A298" s="5">
        <v>45949</v>
      </c>
      <c r="B298" s="4" t="s">
        <v>64</v>
      </c>
      <c r="C298" s="4"/>
      <c r="D298" s="4" t="s">
        <v>487</v>
      </c>
      <c r="E298" s="5">
        <v>45958</v>
      </c>
      <c r="F298" s="4" t="str">
        <f>IF(_xlfn.XLOOKUP(D298,[2]Recalc!A:A,[2]Recalc!A:A,"")=D298,"Approved","Denied")</f>
        <v>Denied</v>
      </c>
      <c r="G298" s="4" t="str">
        <f>IF(F298="Denied",_xlfn.XLOOKUP(D298,'[2]Denied Barcodes'!$A$2:$A$1048576,'[2]Denied Barcodes'!$B$2:$B$1048576,""),"")</f>
        <v>Denied, billed on customer dimensions</v>
      </c>
      <c r="H298" s="4" t="str">
        <f t="shared" si="4"/>
        <v/>
      </c>
      <c r="I298" s="6">
        <f>IF(F298="Approved",SUMIF([2]Recalc!A:A,D298,[2]Recalc!BX:BX),0)</f>
        <v>0</v>
      </c>
    </row>
    <row r="299" spans="1:9" x14ac:dyDescent="0.3">
      <c r="A299" s="5">
        <v>45949</v>
      </c>
      <c r="B299" s="4" t="s">
        <v>64</v>
      </c>
      <c r="C299" s="4"/>
      <c r="D299" s="4" t="s">
        <v>488</v>
      </c>
      <c r="E299" s="5">
        <v>45958</v>
      </c>
      <c r="F299" s="4" t="str">
        <f>IF(_xlfn.XLOOKUP(D299,[2]Recalc!A:A,[2]Recalc!A:A,"")=D299,"Approved","Denied")</f>
        <v>Denied</v>
      </c>
      <c r="G299" s="4" t="str">
        <f>IF(F299="Denied",_xlfn.XLOOKUP(D299,'[2]Denied Barcodes'!$A$2:$A$1048576,'[2]Denied Barcodes'!$B$2:$B$1048576,""),"")</f>
        <v>Denied, billed on customer dimensions</v>
      </c>
      <c r="H299" s="4" t="str">
        <f t="shared" si="4"/>
        <v/>
      </c>
      <c r="I299" s="6">
        <f>IF(F299="Approved",SUMIF([2]Recalc!A:A,D299,[2]Recalc!BX:BX),0)</f>
        <v>0</v>
      </c>
    </row>
    <row r="300" spans="1:9" x14ac:dyDescent="0.3">
      <c r="A300" s="5">
        <v>45949</v>
      </c>
      <c r="B300" s="4" t="s">
        <v>64</v>
      </c>
      <c r="C300" s="4"/>
      <c r="D300" s="4" t="s">
        <v>489</v>
      </c>
      <c r="E300" s="5">
        <v>45958</v>
      </c>
      <c r="F300" s="4" t="str">
        <f>IF(_xlfn.XLOOKUP(D300,[2]Recalc!A:A,[2]Recalc!A:A,"")=D300,"Approved","Denied")</f>
        <v>Denied</v>
      </c>
      <c r="G300" s="4" t="str">
        <f>IF(F300="Denied",_xlfn.XLOOKUP(D300,'[2]Denied Barcodes'!$A$2:$A$1048576,'[2]Denied Barcodes'!$B$2:$B$1048576,""),"")</f>
        <v>Denied, dimensions line up with vpod</v>
      </c>
      <c r="H300" s="4" t="str">
        <f t="shared" si="4"/>
        <v/>
      </c>
      <c r="I300" s="6">
        <f>IF(F300="Approved",SUMIF([2]Recalc!A:A,D300,[2]Recalc!BX:BX),0)</f>
        <v>0</v>
      </c>
    </row>
    <row r="301" spans="1:9" x14ac:dyDescent="0.3">
      <c r="A301" s="5">
        <v>45949</v>
      </c>
      <c r="B301" s="4" t="s">
        <v>64</v>
      </c>
      <c r="C301" s="4"/>
      <c r="D301" s="4" t="s">
        <v>490</v>
      </c>
      <c r="E301" s="5">
        <v>45958</v>
      </c>
      <c r="F301" s="4" t="str">
        <f>IF(_xlfn.XLOOKUP(D301,[2]Recalc!A:A,[2]Recalc!A:A,"")=D301,"Approved","Denied")</f>
        <v>Denied</v>
      </c>
      <c r="G301" s="4" t="str">
        <f>IF(F301="Denied",_xlfn.XLOOKUP(D301,'[2]Denied Barcodes'!$A$2:$A$1048576,'[2]Denied Barcodes'!$B$2:$B$1048576,""),"")</f>
        <v>Denied, dimensions line up with vpod</v>
      </c>
      <c r="H301" s="4" t="str">
        <f t="shared" si="4"/>
        <v/>
      </c>
      <c r="I301" s="6">
        <f>IF(F301="Approved",SUMIF([2]Recalc!A:A,D301,[2]Recalc!BX:BX),0)</f>
        <v>0</v>
      </c>
    </row>
    <row r="302" spans="1:9" x14ac:dyDescent="0.3">
      <c r="A302" s="5">
        <v>45949</v>
      </c>
      <c r="B302" s="4" t="s">
        <v>64</v>
      </c>
      <c r="C302" s="4"/>
      <c r="D302" s="4" t="s">
        <v>491</v>
      </c>
      <c r="E302" s="5">
        <v>45958</v>
      </c>
      <c r="F302" s="4" t="str">
        <f>IF(_xlfn.XLOOKUP(D302,[2]Recalc!A:A,[2]Recalc!A:A,"")=D302,"Approved","Denied")</f>
        <v>Denied</v>
      </c>
      <c r="G302" s="4" t="str">
        <f>IF(F302="Denied",_xlfn.XLOOKUP(D302,'[2]Denied Barcodes'!$A$2:$A$1048576,'[2]Denied Barcodes'!$B$2:$B$1048576,""),"")</f>
        <v>Denied, dimensions line up with vpod</v>
      </c>
      <c r="H302" s="4" t="str">
        <f t="shared" si="4"/>
        <v/>
      </c>
      <c r="I302" s="6">
        <f>IF(F302="Approved",SUMIF([2]Recalc!A:A,D302,[2]Recalc!BX:BX),0)</f>
        <v>0</v>
      </c>
    </row>
    <row r="303" spans="1:9" x14ac:dyDescent="0.3">
      <c r="A303" s="5">
        <v>45949</v>
      </c>
      <c r="B303" s="4" t="s">
        <v>64</v>
      </c>
      <c r="C303" s="4"/>
      <c r="D303" s="4" t="s">
        <v>492</v>
      </c>
      <c r="E303" s="5">
        <v>45958</v>
      </c>
      <c r="F303" s="4" t="str">
        <f>IF(_xlfn.XLOOKUP(D303,[2]Recalc!A:A,[2]Recalc!A:A,"")=D303,"Approved","Denied")</f>
        <v>Denied</v>
      </c>
      <c r="G303" s="4" t="str">
        <f>IF(F303="Denied",_xlfn.XLOOKUP(D303,'[2]Denied Barcodes'!$A$2:$A$1048576,'[2]Denied Barcodes'!$B$2:$B$1048576,""),"")</f>
        <v>Denied, dimensions line up with vpod</v>
      </c>
      <c r="H303" s="4" t="str">
        <f t="shared" si="4"/>
        <v/>
      </c>
      <c r="I303" s="6">
        <f>IF(F303="Approved",SUMIF([2]Recalc!A:A,D303,[2]Recalc!BX:BX),0)</f>
        <v>0</v>
      </c>
    </row>
    <row r="304" spans="1:9" x14ac:dyDescent="0.3">
      <c r="A304" s="5">
        <v>45949</v>
      </c>
      <c r="B304" s="4" t="s">
        <v>64</v>
      </c>
      <c r="C304" s="4"/>
      <c r="D304" s="4" t="s">
        <v>493</v>
      </c>
      <c r="E304" s="5">
        <v>45958</v>
      </c>
      <c r="F304" s="4" t="str">
        <f>IF(_xlfn.XLOOKUP(D304,[2]Recalc!A:A,[2]Recalc!A:A,"")=D304,"Approved","Denied")</f>
        <v>Denied</v>
      </c>
      <c r="G304" s="4" t="str">
        <f>IF(F304="Denied",_xlfn.XLOOKUP(D304,'[2]Denied Barcodes'!$A$2:$A$1048576,'[2]Denied Barcodes'!$B$2:$B$1048576,""),"")</f>
        <v>Denied, billed on customer dimensions</v>
      </c>
      <c r="H304" s="4" t="str">
        <f t="shared" si="4"/>
        <v/>
      </c>
      <c r="I304" s="6">
        <f>IF(F304="Approved",SUMIF([2]Recalc!A:A,D304,[2]Recalc!BX:BX),0)</f>
        <v>0</v>
      </c>
    </row>
    <row r="305" spans="1:9" x14ac:dyDescent="0.3">
      <c r="A305" s="5">
        <v>45949</v>
      </c>
      <c r="B305" s="4" t="s">
        <v>64</v>
      </c>
      <c r="C305" s="4"/>
      <c r="D305" s="4" t="s">
        <v>494</v>
      </c>
      <c r="E305" s="5">
        <v>45958</v>
      </c>
      <c r="F305" s="4" t="str">
        <f>IF(_xlfn.XLOOKUP(D305,[2]Recalc!A:A,[2]Recalc!A:A,"")=D305,"Approved","Denied")</f>
        <v>Denied</v>
      </c>
      <c r="G305" s="4" t="str">
        <f>IF(F305="Denied",_xlfn.XLOOKUP(D305,'[2]Denied Barcodes'!$A$2:$A$1048576,'[2]Denied Barcodes'!$B$2:$B$1048576,""),"")</f>
        <v>Denied, dimensions line up with vpod</v>
      </c>
      <c r="H305" s="4" t="str">
        <f t="shared" si="4"/>
        <v/>
      </c>
      <c r="I305" s="6">
        <f>IF(F305="Approved",SUMIF([2]Recalc!A:A,D305,[2]Recalc!BX:BX),0)</f>
        <v>0</v>
      </c>
    </row>
    <row r="306" spans="1:9" x14ac:dyDescent="0.3">
      <c r="A306" s="5">
        <v>45949</v>
      </c>
      <c r="B306" s="4" t="s">
        <v>64</v>
      </c>
      <c r="C306" s="4"/>
      <c r="D306" s="4" t="s">
        <v>495</v>
      </c>
      <c r="E306" s="5">
        <v>45958</v>
      </c>
      <c r="F306" s="4" t="str">
        <f>IF(_xlfn.XLOOKUP(D306,[2]Recalc!A:A,[2]Recalc!A:A,"")=D306,"Approved","Denied")</f>
        <v>Denied</v>
      </c>
      <c r="G306" s="4" t="str">
        <f>IF(F306="Denied",_xlfn.XLOOKUP(D306,'[2]Denied Barcodes'!$A$2:$A$1048576,'[2]Denied Barcodes'!$B$2:$B$1048576,""),"")</f>
        <v>Denied, dimensions line up with vpod</v>
      </c>
      <c r="H306" s="4" t="str">
        <f t="shared" si="4"/>
        <v/>
      </c>
      <c r="I306" s="6">
        <f>IF(F306="Approved",SUMIF([2]Recalc!A:A,D306,[2]Recalc!BX:BX),0)</f>
        <v>0</v>
      </c>
    </row>
    <row r="307" spans="1:9" x14ac:dyDescent="0.3">
      <c r="A307" s="5">
        <v>45949</v>
      </c>
      <c r="B307" s="4" t="s">
        <v>64</v>
      </c>
      <c r="C307" s="4"/>
      <c r="D307" s="4" t="s">
        <v>496</v>
      </c>
      <c r="E307" s="5">
        <v>45958</v>
      </c>
      <c r="F307" s="4" t="str">
        <f>IF(_xlfn.XLOOKUP(D307,[2]Recalc!A:A,[2]Recalc!A:A,"")=D307,"Approved","Denied")</f>
        <v>Denied</v>
      </c>
      <c r="G307" s="4" t="str">
        <f>IF(F307="Denied",_xlfn.XLOOKUP(D307,'[2]Denied Barcodes'!$A$2:$A$1048576,'[2]Denied Barcodes'!$B$2:$B$1048576,""),"")</f>
        <v>Denied, dimensions line up with vpod</v>
      </c>
      <c r="H307" s="4" t="str">
        <f t="shared" si="4"/>
        <v/>
      </c>
      <c r="I307" s="6">
        <f>IF(F307="Approved",SUMIF([2]Recalc!A:A,D307,[2]Recalc!BX:BX),0)</f>
        <v>0</v>
      </c>
    </row>
    <row r="308" spans="1:9" x14ac:dyDescent="0.3">
      <c r="A308" s="5">
        <v>45949</v>
      </c>
      <c r="B308" s="4" t="s">
        <v>64</v>
      </c>
      <c r="C308" s="4"/>
      <c r="D308" s="4" t="s">
        <v>497</v>
      </c>
      <c r="E308" s="5">
        <v>45958</v>
      </c>
      <c r="F308" s="4" t="str">
        <f>IF(_xlfn.XLOOKUP(D308,[2]Recalc!A:A,[2]Recalc!A:A,"")=D308,"Approved","Denied")</f>
        <v>Denied</v>
      </c>
      <c r="G308" s="4" t="str">
        <f>IF(F308="Denied",_xlfn.XLOOKUP(D308,'[2]Denied Barcodes'!$A$2:$A$1048576,'[2]Denied Barcodes'!$B$2:$B$1048576,""),"")</f>
        <v>Denied, dimensions line up with vpod</v>
      </c>
      <c r="H308" s="4" t="str">
        <f t="shared" si="4"/>
        <v/>
      </c>
      <c r="I308" s="6">
        <f>IF(F308="Approved",SUMIF([2]Recalc!A:A,D308,[2]Recalc!BX:BX),0)</f>
        <v>0</v>
      </c>
    </row>
    <row r="309" spans="1:9" x14ac:dyDescent="0.3">
      <c r="A309" s="5">
        <v>45949</v>
      </c>
      <c r="B309" s="4" t="s">
        <v>64</v>
      </c>
      <c r="C309" s="4"/>
      <c r="D309" s="4" t="s">
        <v>498</v>
      </c>
      <c r="E309" s="5">
        <v>45958</v>
      </c>
      <c r="F309" s="4" t="str">
        <f>IF(_xlfn.XLOOKUP(D309,[2]Recalc!A:A,[2]Recalc!A:A,"")=D309,"Approved","Denied")</f>
        <v>Denied</v>
      </c>
      <c r="G309" s="4" t="str">
        <f>IF(F309="Denied",_xlfn.XLOOKUP(D309,'[2]Denied Barcodes'!$A$2:$A$1048576,'[2]Denied Barcodes'!$B$2:$B$1048576,""),"")</f>
        <v>Denied, billed on customer dimensions</v>
      </c>
      <c r="H309" s="4" t="str">
        <f t="shared" si="4"/>
        <v/>
      </c>
      <c r="I309" s="6">
        <f>IF(F309="Approved",SUMIF([2]Recalc!A:A,D309,[2]Recalc!BX:BX),0)</f>
        <v>0</v>
      </c>
    </row>
    <row r="310" spans="1:9" x14ac:dyDescent="0.3">
      <c r="A310" s="5">
        <v>45949</v>
      </c>
      <c r="B310" s="4" t="s">
        <v>64</v>
      </c>
      <c r="C310" s="4"/>
      <c r="D310" s="4" t="s">
        <v>499</v>
      </c>
      <c r="E310" s="5">
        <v>45958</v>
      </c>
      <c r="F310" s="4" t="str">
        <f>IF(_xlfn.XLOOKUP(D310,[2]Recalc!A:A,[2]Recalc!A:A,"")=D310,"Approved","Denied")</f>
        <v>Denied</v>
      </c>
      <c r="G310" s="4" t="str">
        <f>IF(F310="Denied",_xlfn.XLOOKUP(D310,'[2]Denied Barcodes'!$A$2:$A$1048576,'[2]Denied Barcodes'!$B$2:$B$1048576,""),"")</f>
        <v>Denied, dimensions line up with vpod</v>
      </c>
      <c r="H310" s="4" t="str">
        <f t="shared" si="4"/>
        <v/>
      </c>
      <c r="I310" s="6">
        <f>IF(F310="Approved",SUMIF([2]Recalc!A:A,D310,[2]Recalc!BX:BX),0)</f>
        <v>0</v>
      </c>
    </row>
    <row r="311" spans="1:9" x14ac:dyDescent="0.3">
      <c r="A311" s="5">
        <v>45949</v>
      </c>
      <c r="B311" s="4" t="s">
        <v>64</v>
      </c>
      <c r="C311" s="4"/>
      <c r="D311" s="4" t="s">
        <v>500</v>
      </c>
      <c r="E311" s="5">
        <v>45958</v>
      </c>
      <c r="F311" s="4" t="str">
        <f>IF(_xlfn.XLOOKUP(D311,[2]Recalc!A:A,[2]Recalc!A:A,"")=D311,"Approved","Denied")</f>
        <v>Denied</v>
      </c>
      <c r="G311" s="4" t="str">
        <f>IF(F311="Denied",_xlfn.XLOOKUP(D311,'[2]Denied Barcodes'!$A$2:$A$1048576,'[2]Denied Barcodes'!$B$2:$B$1048576,""),"")</f>
        <v>Denied, dimensions line up with vpod</v>
      </c>
      <c r="H311" s="4" t="str">
        <f t="shared" si="4"/>
        <v/>
      </c>
      <c r="I311" s="6">
        <f>IF(F311="Approved",SUMIF([2]Recalc!A:A,D311,[2]Recalc!BX:BX),0)</f>
        <v>0</v>
      </c>
    </row>
    <row r="312" spans="1:9" x14ac:dyDescent="0.3">
      <c r="A312" s="5">
        <v>45949</v>
      </c>
      <c r="B312" s="4" t="s">
        <v>64</v>
      </c>
      <c r="C312" s="4"/>
      <c r="D312" s="4" t="s">
        <v>501</v>
      </c>
      <c r="E312" s="5">
        <v>45958</v>
      </c>
      <c r="F312" s="4" t="str">
        <f>IF(_xlfn.XLOOKUP(D312,[2]Recalc!A:A,[2]Recalc!A:A,"")=D312,"Approved","Denied")</f>
        <v>Denied</v>
      </c>
      <c r="G312" s="4" t="str">
        <f>IF(F312="Denied",_xlfn.XLOOKUP(D312,'[2]Denied Barcodes'!$A$2:$A$1048576,'[2]Denied Barcodes'!$B$2:$B$1048576,""),"")</f>
        <v>Denied, billed on customer dimensions</v>
      </c>
      <c r="H312" s="4" t="str">
        <f t="shared" si="4"/>
        <v/>
      </c>
      <c r="I312" s="6">
        <f>IF(F312="Approved",SUMIF([2]Recalc!A:A,D312,[2]Recalc!BX:BX),0)</f>
        <v>0</v>
      </c>
    </row>
    <row r="313" spans="1:9" x14ac:dyDescent="0.3">
      <c r="A313" s="5">
        <v>45949</v>
      </c>
      <c r="B313" s="4" t="s">
        <v>64</v>
      </c>
      <c r="C313" s="4"/>
      <c r="D313" s="4" t="s">
        <v>502</v>
      </c>
      <c r="E313" s="5">
        <v>45958</v>
      </c>
      <c r="F313" s="4" t="str">
        <f>IF(_xlfn.XLOOKUP(D313,[2]Recalc!A:A,[2]Recalc!A:A,"")=D313,"Approved","Denied")</f>
        <v>Denied</v>
      </c>
      <c r="G313" s="4" t="str">
        <f>IF(F313="Denied",_xlfn.XLOOKUP(D313,'[2]Denied Barcodes'!$A$2:$A$1048576,'[2]Denied Barcodes'!$B$2:$B$1048576,""),"")</f>
        <v>Denied, dimensions line up with vpod</v>
      </c>
      <c r="H313" s="4" t="str">
        <f t="shared" si="4"/>
        <v/>
      </c>
      <c r="I313" s="6">
        <f>IF(F313="Approved",SUMIF([2]Recalc!A:A,D313,[2]Recalc!BX:BX),0)</f>
        <v>0</v>
      </c>
    </row>
    <row r="314" spans="1:9" x14ac:dyDescent="0.3">
      <c r="A314" s="5">
        <v>45949</v>
      </c>
      <c r="B314" s="4" t="s">
        <v>64</v>
      </c>
      <c r="C314" s="4"/>
      <c r="D314" s="4" t="s">
        <v>503</v>
      </c>
      <c r="E314" s="5">
        <v>45958</v>
      </c>
      <c r="F314" s="4" t="str">
        <f>IF(_xlfn.XLOOKUP(D314,[2]Recalc!A:A,[2]Recalc!A:A,"")=D314,"Approved","Denied")</f>
        <v>Denied</v>
      </c>
      <c r="G314" s="4" t="str">
        <f>IF(F314="Denied",_xlfn.XLOOKUP(D314,'[2]Denied Barcodes'!$A$2:$A$1048576,'[2]Denied Barcodes'!$B$2:$B$1048576,""),"")</f>
        <v>Denied, dimensions line up with vpod</v>
      </c>
      <c r="H314" s="4" t="str">
        <f t="shared" si="4"/>
        <v/>
      </c>
      <c r="I314" s="6">
        <f>IF(F314="Approved",SUMIF([2]Recalc!A:A,D314,[2]Recalc!BX:BX),0)</f>
        <v>0</v>
      </c>
    </row>
    <row r="315" spans="1:9" x14ac:dyDescent="0.3">
      <c r="A315" s="5">
        <v>45949</v>
      </c>
      <c r="B315" s="4" t="s">
        <v>64</v>
      </c>
      <c r="C315" s="4"/>
      <c r="D315" s="4" t="s">
        <v>504</v>
      </c>
      <c r="E315" s="5">
        <v>45958</v>
      </c>
      <c r="F315" s="4" t="str">
        <f>IF(_xlfn.XLOOKUP(D315,[2]Recalc!A:A,[2]Recalc!A:A,"")=D315,"Approved","Denied")</f>
        <v>Denied</v>
      </c>
      <c r="G315" s="4" t="str">
        <f>IF(F315="Denied",_xlfn.XLOOKUP(D315,'[2]Denied Barcodes'!$A$2:$A$1048576,'[2]Denied Barcodes'!$B$2:$B$1048576,""),"")</f>
        <v>Denied, dimensions line up with vpod</v>
      </c>
      <c r="H315" s="4" t="str">
        <f t="shared" si="4"/>
        <v/>
      </c>
      <c r="I315" s="6">
        <f>IF(F315="Approved",SUMIF([2]Recalc!A:A,D315,[2]Recalc!BX:BX),0)</f>
        <v>0</v>
      </c>
    </row>
    <row r="316" spans="1:9" x14ac:dyDescent="0.3">
      <c r="A316" s="5">
        <v>45949</v>
      </c>
      <c r="B316" s="4" t="s">
        <v>64</v>
      </c>
      <c r="C316" s="4"/>
      <c r="D316" s="4" t="s">
        <v>505</v>
      </c>
      <c r="E316" s="5">
        <v>45958</v>
      </c>
      <c r="F316" s="4" t="str">
        <f>IF(_xlfn.XLOOKUP(D316,[2]Recalc!A:A,[2]Recalc!A:A,"")=D316,"Approved","Denied")</f>
        <v>Denied</v>
      </c>
      <c r="G316" s="4" t="str">
        <f>IF(F316="Denied",_xlfn.XLOOKUP(D316,'[2]Denied Barcodes'!$A$2:$A$1048576,'[2]Denied Barcodes'!$B$2:$B$1048576,""),"")</f>
        <v>Denied, billed on customer dimensions</v>
      </c>
      <c r="H316" s="4" t="str">
        <f t="shared" si="4"/>
        <v/>
      </c>
      <c r="I316" s="6">
        <f>IF(F316="Approved",SUMIF([2]Recalc!A:A,D316,[2]Recalc!BX:BX),0)</f>
        <v>0</v>
      </c>
    </row>
    <row r="317" spans="1:9" x14ac:dyDescent="0.3">
      <c r="A317" s="5">
        <v>45949</v>
      </c>
      <c r="B317" s="4" t="s">
        <v>64</v>
      </c>
      <c r="C317" s="4"/>
      <c r="D317" s="4" t="s">
        <v>506</v>
      </c>
      <c r="E317" s="5">
        <v>45958</v>
      </c>
      <c r="F317" s="4" t="str">
        <f>IF(_xlfn.XLOOKUP(D317,[2]Recalc!A:A,[2]Recalc!A:A,"")=D317,"Approved","Denied")</f>
        <v>Denied</v>
      </c>
      <c r="G317" s="4" t="str">
        <f>IF(F317="Denied",_xlfn.XLOOKUP(D317,'[2]Denied Barcodes'!$A$2:$A$1048576,'[2]Denied Barcodes'!$B$2:$B$1048576,""),"")</f>
        <v>Denied, dimensions line up with vpod</v>
      </c>
      <c r="H317" s="4" t="str">
        <f t="shared" si="4"/>
        <v/>
      </c>
      <c r="I317" s="6">
        <f>IF(F317="Approved",SUMIF([2]Recalc!A:A,D317,[2]Recalc!BX:BX),0)</f>
        <v>0</v>
      </c>
    </row>
    <row r="318" spans="1:9" x14ac:dyDescent="0.3">
      <c r="A318" s="5">
        <v>45949</v>
      </c>
      <c r="B318" s="4" t="s">
        <v>64</v>
      </c>
      <c r="C318" s="4"/>
      <c r="D318" s="4" t="s">
        <v>507</v>
      </c>
      <c r="E318" s="5">
        <v>45958</v>
      </c>
      <c r="F318" s="4" t="str">
        <f>IF(_xlfn.XLOOKUP(D318,[2]Recalc!A:A,[2]Recalc!A:A,"")=D318,"Approved","Denied")</f>
        <v>Denied</v>
      </c>
      <c r="G318" s="4" t="str">
        <f>IF(F318="Denied",_xlfn.XLOOKUP(D318,'[2]Denied Barcodes'!$A$2:$A$1048576,'[2]Denied Barcodes'!$B$2:$B$1048576,""),"")</f>
        <v>Denied, dimensions line up with vpod</v>
      </c>
      <c r="H318" s="4" t="str">
        <f t="shared" si="4"/>
        <v/>
      </c>
      <c r="I318" s="6">
        <f>IF(F318="Approved",SUMIF([2]Recalc!A:A,D318,[2]Recalc!BX:BX),0)</f>
        <v>0</v>
      </c>
    </row>
    <row r="319" spans="1:9" x14ac:dyDescent="0.3">
      <c r="A319" s="5">
        <v>45949</v>
      </c>
      <c r="B319" s="4" t="s">
        <v>64</v>
      </c>
      <c r="C319" s="4"/>
      <c r="D319" s="4" t="s">
        <v>508</v>
      </c>
      <c r="E319" s="5">
        <v>45958</v>
      </c>
      <c r="F319" s="4" t="str">
        <f>IF(_xlfn.XLOOKUP(D319,[2]Recalc!A:A,[2]Recalc!A:A,"")=D319,"Approved","Denied")</f>
        <v>Denied</v>
      </c>
      <c r="G319" s="4" t="str">
        <f>IF(F319="Denied",_xlfn.XLOOKUP(D319,'[2]Denied Barcodes'!$A$2:$A$1048576,'[2]Denied Barcodes'!$B$2:$B$1048576,""),"")</f>
        <v>Denied, dimensions line up with vpod</v>
      </c>
      <c r="H319" s="4" t="str">
        <f t="shared" si="4"/>
        <v/>
      </c>
      <c r="I319" s="6">
        <f>IF(F319="Approved",SUMIF([2]Recalc!A:A,D319,[2]Recalc!BX:BX),0)</f>
        <v>0</v>
      </c>
    </row>
    <row r="320" spans="1:9" x14ac:dyDescent="0.3">
      <c r="A320" s="5">
        <v>45949</v>
      </c>
      <c r="B320" s="4" t="s">
        <v>64</v>
      </c>
      <c r="C320" s="4"/>
      <c r="D320" s="4" t="s">
        <v>509</v>
      </c>
      <c r="E320" s="5">
        <v>45958</v>
      </c>
      <c r="F320" s="4" t="str">
        <f>IF(_xlfn.XLOOKUP(D320,[2]Recalc!A:A,[2]Recalc!A:A,"")=D320,"Approved","Denied")</f>
        <v>Denied</v>
      </c>
      <c r="G320" s="4" t="str">
        <f>IF(F320="Denied",_xlfn.XLOOKUP(D320,'[2]Denied Barcodes'!$A$2:$A$1048576,'[2]Denied Barcodes'!$B$2:$B$1048576,""),"")</f>
        <v>Denied, dimensions line up with vpod</v>
      </c>
      <c r="H320" s="4" t="str">
        <f t="shared" si="4"/>
        <v/>
      </c>
      <c r="I320" s="6">
        <f>IF(F320="Approved",SUMIF([2]Recalc!A:A,D320,[2]Recalc!BX:BX),0)</f>
        <v>0</v>
      </c>
    </row>
    <row r="321" spans="1:9" x14ac:dyDescent="0.3">
      <c r="A321" s="5">
        <v>45949</v>
      </c>
      <c r="B321" s="4" t="s">
        <v>64</v>
      </c>
      <c r="C321" s="4"/>
      <c r="D321" s="4" t="s">
        <v>510</v>
      </c>
      <c r="E321" s="5">
        <v>45958</v>
      </c>
      <c r="F321" s="4" t="str">
        <f>IF(_xlfn.XLOOKUP(D321,[2]Recalc!A:A,[2]Recalc!A:A,"")=D321,"Approved","Denied")</f>
        <v>Denied</v>
      </c>
      <c r="G321" s="4" t="str">
        <f>IF(F321="Denied",_xlfn.XLOOKUP(D321,'[2]Denied Barcodes'!$A$2:$A$1048576,'[2]Denied Barcodes'!$B$2:$B$1048576,""),"")</f>
        <v>Denied, dimensions line up with vpod</v>
      </c>
      <c r="H321" s="4" t="str">
        <f t="shared" si="4"/>
        <v/>
      </c>
      <c r="I321" s="6">
        <f>IF(F321="Approved",SUMIF([2]Recalc!A:A,D321,[2]Recalc!BX:BX),0)</f>
        <v>0</v>
      </c>
    </row>
    <row r="322" spans="1:9" x14ac:dyDescent="0.3">
      <c r="A322" s="5">
        <v>45949</v>
      </c>
      <c r="B322" s="4" t="s">
        <v>64</v>
      </c>
      <c r="C322" s="4"/>
      <c r="D322" s="4" t="s">
        <v>511</v>
      </c>
      <c r="E322" s="5">
        <v>45958</v>
      </c>
      <c r="F322" s="4" t="str">
        <f>IF(_xlfn.XLOOKUP(D322,[2]Recalc!A:A,[2]Recalc!A:A,"")=D322,"Approved","Denied")</f>
        <v>Denied</v>
      </c>
      <c r="G322" s="4" t="str">
        <f>IF(F322="Denied",_xlfn.XLOOKUP(D322,'[2]Denied Barcodes'!$A$2:$A$1048576,'[2]Denied Barcodes'!$B$2:$B$1048576,""),"")</f>
        <v>Denied, dimensions line up with vpod</v>
      </c>
      <c r="H322" s="4" t="str">
        <f t="shared" ref="H322:H343" si="5">IF(I322&lt;0,"Credit",IF(I322&gt;0,"Debit",""))</f>
        <v/>
      </c>
      <c r="I322" s="6">
        <f>IF(F322="Approved",SUMIF([2]Recalc!A:A,D322,[2]Recalc!BX:BX),0)</f>
        <v>0</v>
      </c>
    </row>
    <row r="323" spans="1:9" x14ac:dyDescent="0.3">
      <c r="A323" s="5">
        <v>45949</v>
      </c>
      <c r="B323" s="4" t="s">
        <v>64</v>
      </c>
      <c r="C323" s="4"/>
      <c r="D323" s="4" t="s">
        <v>512</v>
      </c>
      <c r="E323" s="5">
        <v>45958</v>
      </c>
      <c r="F323" s="4" t="str">
        <f>IF(_xlfn.XLOOKUP(D323,[2]Recalc!A:A,[2]Recalc!A:A,"")=D323,"Approved","Denied")</f>
        <v>Denied</v>
      </c>
      <c r="G323" s="4" t="str">
        <f>IF(F323="Denied",_xlfn.XLOOKUP(D323,'[2]Denied Barcodes'!$A$2:$A$1048576,'[2]Denied Barcodes'!$B$2:$B$1048576,""),"")</f>
        <v>Denied, dimensions line up with vpod</v>
      </c>
      <c r="H323" s="4" t="str">
        <f t="shared" si="5"/>
        <v/>
      </c>
      <c r="I323" s="6">
        <f>IF(F323="Approved",SUMIF([2]Recalc!A:A,D323,[2]Recalc!BX:BX),0)</f>
        <v>0</v>
      </c>
    </row>
    <row r="324" spans="1:9" x14ac:dyDescent="0.3">
      <c r="A324" s="5">
        <v>45949</v>
      </c>
      <c r="B324" s="4" t="s">
        <v>64</v>
      </c>
      <c r="C324" s="4"/>
      <c r="D324" s="4" t="s">
        <v>513</v>
      </c>
      <c r="E324" s="5">
        <v>45958</v>
      </c>
      <c r="F324" s="4" t="str">
        <f>IF(_xlfn.XLOOKUP(D324,[2]Recalc!A:A,[2]Recalc!A:A,"")=D324,"Approved","Denied")</f>
        <v>Denied</v>
      </c>
      <c r="G324" s="4" t="str">
        <f>IF(F324="Denied",_xlfn.XLOOKUP(D324,'[2]Denied Barcodes'!$A$2:$A$1048576,'[2]Denied Barcodes'!$B$2:$B$1048576,""),"")</f>
        <v>Denied, dimensions line up with vpod</v>
      </c>
      <c r="H324" s="4" t="str">
        <f t="shared" si="5"/>
        <v/>
      </c>
      <c r="I324" s="6">
        <f>IF(F324="Approved",SUMIF([2]Recalc!A:A,D324,[2]Recalc!BX:BX),0)</f>
        <v>0</v>
      </c>
    </row>
    <row r="325" spans="1:9" x14ac:dyDescent="0.3">
      <c r="A325" s="5">
        <v>45949</v>
      </c>
      <c r="B325" s="4" t="s">
        <v>64</v>
      </c>
      <c r="C325" s="4"/>
      <c r="D325" s="4" t="s">
        <v>514</v>
      </c>
      <c r="E325" s="5">
        <v>45958</v>
      </c>
      <c r="F325" s="4" t="str">
        <f>IF(_xlfn.XLOOKUP(D325,[2]Recalc!A:A,[2]Recalc!A:A,"")=D325,"Approved","Denied")</f>
        <v>Denied</v>
      </c>
      <c r="G325" s="4" t="str">
        <f>IF(F325="Denied",_xlfn.XLOOKUP(D325,'[2]Denied Barcodes'!$A$2:$A$1048576,'[2]Denied Barcodes'!$B$2:$B$1048576,""),"")</f>
        <v>Denied, dimensions line up with vpod</v>
      </c>
      <c r="H325" s="4" t="str">
        <f t="shared" si="5"/>
        <v/>
      </c>
      <c r="I325" s="6">
        <f>IF(F325="Approved",SUMIF([2]Recalc!A:A,D325,[2]Recalc!BX:BX),0)</f>
        <v>0</v>
      </c>
    </row>
    <row r="326" spans="1:9" x14ac:dyDescent="0.3">
      <c r="A326" s="5">
        <v>45949</v>
      </c>
      <c r="B326" s="4" t="s">
        <v>64</v>
      </c>
      <c r="C326" s="4"/>
      <c r="D326" s="4" t="s">
        <v>515</v>
      </c>
      <c r="E326" s="5">
        <v>45958</v>
      </c>
      <c r="F326" s="4" t="str">
        <f>IF(_xlfn.XLOOKUP(D326,[2]Recalc!A:A,[2]Recalc!A:A,"")=D326,"Approved","Denied")</f>
        <v>Denied</v>
      </c>
      <c r="G326" s="4" t="str">
        <f>IF(F326="Denied",_xlfn.XLOOKUP(D326,'[2]Denied Barcodes'!$A$2:$A$1048576,'[2]Denied Barcodes'!$B$2:$B$1048576,""),"")</f>
        <v>Denied, dimensions line up with vpod</v>
      </c>
      <c r="H326" s="4" t="str">
        <f t="shared" si="5"/>
        <v/>
      </c>
      <c r="I326" s="6">
        <f>IF(F326="Approved",SUMIF([2]Recalc!A:A,D326,[2]Recalc!BX:BX),0)</f>
        <v>0</v>
      </c>
    </row>
    <row r="327" spans="1:9" x14ac:dyDescent="0.3">
      <c r="A327" s="5">
        <v>45949</v>
      </c>
      <c r="B327" s="4" t="s">
        <v>64</v>
      </c>
      <c r="C327" s="4"/>
      <c r="D327" s="4" t="s">
        <v>516</v>
      </c>
      <c r="E327" s="5">
        <v>45958</v>
      </c>
      <c r="F327" s="4" t="str">
        <f>IF(_xlfn.XLOOKUP(D327,[2]Recalc!A:A,[2]Recalc!A:A,"")=D327,"Approved","Denied")</f>
        <v>Denied</v>
      </c>
      <c r="G327" s="4" t="str">
        <f>IF(F327="Denied",_xlfn.XLOOKUP(D327,'[2]Denied Barcodes'!$A$2:$A$1048576,'[2]Denied Barcodes'!$B$2:$B$1048576,""),"")</f>
        <v>Denied, dimensions line up with vpod</v>
      </c>
      <c r="H327" s="4" t="str">
        <f t="shared" si="5"/>
        <v/>
      </c>
      <c r="I327" s="6">
        <f>IF(F327="Approved",SUMIF([2]Recalc!A:A,D327,[2]Recalc!BX:BX),0)</f>
        <v>0</v>
      </c>
    </row>
    <row r="328" spans="1:9" x14ac:dyDescent="0.3">
      <c r="A328" s="5">
        <v>45949</v>
      </c>
      <c r="B328" s="4" t="s">
        <v>64</v>
      </c>
      <c r="C328" s="4"/>
      <c r="D328" s="4" t="s">
        <v>517</v>
      </c>
      <c r="E328" s="5">
        <v>45958</v>
      </c>
      <c r="F328" s="4" t="str">
        <f>IF(_xlfn.XLOOKUP(D328,[2]Recalc!A:A,[2]Recalc!A:A,"")=D328,"Approved","Denied")</f>
        <v>Denied</v>
      </c>
      <c r="G328" s="4" t="str">
        <f>IF(F328="Denied",_xlfn.XLOOKUP(D328,'[2]Denied Barcodes'!$A$2:$A$1048576,'[2]Denied Barcodes'!$B$2:$B$1048576,""),"")</f>
        <v>Denied, dimensions line up with vpod</v>
      </c>
      <c r="H328" s="4" t="str">
        <f t="shared" si="5"/>
        <v/>
      </c>
      <c r="I328" s="6">
        <f>IF(F328="Approved",SUMIF([2]Recalc!A:A,D328,[2]Recalc!BX:BX),0)</f>
        <v>0</v>
      </c>
    </row>
    <row r="329" spans="1:9" x14ac:dyDescent="0.3">
      <c r="A329" s="5">
        <v>45949</v>
      </c>
      <c r="B329" s="4" t="s">
        <v>64</v>
      </c>
      <c r="C329" s="4"/>
      <c r="D329" s="4" t="s">
        <v>518</v>
      </c>
      <c r="E329" s="5">
        <v>45958</v>
      </c>
      <c r="F329" s="4" t="str">
        <f>IF(_xlfn.XLOOKUP(D329,[2]Recalc!A:A,[2]Recalc!A:A,"")=D329,"Approved","Denied")</f>
        <v>Denied</v>
      </c>
      <c r="G329" s="4" t="str">
        <f>IF(F329="Denied",_xlfn.XLOOKUP(D329,'[2]Denied Barcodes'!$A$2:$A$1048576,'[2]Denied Barcodes'!$B$2:$B$1048576,""),"")</f>
        <v>Denied, dimensions line up with vpod</v>
      </c>
      <c r="H329" s="4" t="str">
        <f t="shared" si="5"/>
        <v/>
      </c>
      <c r="I329" s="6">
        <f>IF(F329="Approved",SUMIF([2]Recalc!A:A,D329,[2]Recalc!BX:BX),0)</f>
        <v>0</v>
      </c>
    </row>
    <row r="330" spans="1:9" x14ac:dyDescent="0.3">
      <c r="A330" s="5">
        <v>45949</v>
      </c>
      <c r="B330" s="4" t="s">
        <v>9</v>
      </c>
      <c r="C330" s="4"/>
      <c r="D330" s="4" t="s">
        <v>519</v>
      </c>
      <c r="E330" s="5">
        <v>45958</v>
      </c>
      <c r="F330" s="4" t="str">
        <f>IF(_xlfn.XLOOKUP(D330,[2]Recalc!A:A,[2]Recalc!A:A,"")=D330,"Approved","Denied")</f>
        <v>Denied</v>
      </c>
      <c r="G330" s="4" t="str">
        <f>IF(F330="Denied",_xlfn.XLOOKUP(D330,'[2]Denied Barcodes'!$A$2:$A$1048576,'[2]Denied Barcodes'!$B$2:$B$1048576,""),"")</f>
        <v>Denied, billed on customer dimensions</v>
      </c>
      <c r="H330" s="4" t="str">
        <f t="shared" si="5"/>
        <v/>
      </c>
      <c r="I330" s="6">
        <f>IF(F330="Approved",SUMIF([2]Recalc!A:A,D330,[2]Recalc!BX:BX),0)</f>
        <v>0</v>
      </c>
    </row>
    <row r="331" spans="1:9" x14ac:dyDescent="0.3">
      <c r="A331" s="5">
        <v>45949</v>
      </c>
      <c r="B331" s="4" t="s">
        <v>9</v>
      </c>
      <c r="C331" s="4"/>
      <c r="D331" s="4" t="s">
        <v>520</v>
      </c>
      <c r="E331" s="5">
        <v>45958</v>
      </c>
      <c r="F331" s="4" t="str">
        <f>IF(_xlfn.XLOOKUP(D331,[2]Recalc!A:A,[2]Recalc!A:A,"")=D331,"Approved","Denied")</f>
        <v>Denied</v>
      </c>
      <c r="G331" s="4" t="str">
        <f>IF(F331="Denied",_xlfn.XLOOKUP(D331,'[2]Denied Barcodes'!$A$2:$A$1048576,'[2]Denied Barcodes'!$B$2:$B$1048576,""),"")</f>
        <v>Denied, billed on customer dimensions</v>
      </c>
      <c r="H331" s="4" t="str">
        <f t="shared" si="5"/>
        <v/>
      </c>
      <c r="I331" s="6">
        <f>IF(F331="Approved",SUMIF([2]Recalc!A:A,D331,[2]Recalc!BX:BX),0)</f>
        <v>0</v>
      </c>
    </row>
    <row r="332" spans="1:9" x14ac:dyDescent="0.3">
      <c r="A332" s="5">
        <v>45949</v>
      </c>
      <c r="B332" s="4" t="s">
        <v>9</v>
      </c>
      <c r="C332" s="4"/>
      <c r="D332" s="4" t="s">
        <v>521</v>
      </c>
      <c r="E332" s="5">
        <v>45958</v>
      </c>
      <c r="F332" s="4" t="str">
        <f>IF(_xlfn.XLOOKUP(D332,[2]Recalc!A:A,[2]Recalc!A:A,"")=D332,"Approved","Denied")</f>
        <v>Denied</v>
      </c>
      <c r="G332" s="4" t="str">
        <f>IF(F332="Denied",_xlfn.XLOOKUP(D332,'[2]Denied Barcodes'!$A$2:$A$1048576,'[2]Denied Barcodes'!$B$2:$B$1048576,""),"")</f>
        <v>Denied, billed on customer dimensions</v>
      </c>
      <c r="H332" s="4" t="str">
        <f t="shared" si="5"/>
        <v/>
      </c>
      <c r="I332" s="6">
        <f>IF(F332="Approved",SUMIF([2]Recalc!A:A,D332,[2]Recalc!BX:BX),0)</f>
        <v>0</v>
      </c>
    </row>
    <row r="333" spans="1:9" x14ac:dyDescent="0.3">
      <c r="A333" s="5">
        <v>45949</v>
      </c>
      <c r="B333" s="4" t="s">
        <v>55</v>
      </c>
      <c r="C333" s="4"/>
      <c r="D333" s="4" t="s">
        <v>522</v>
      </c>
      <c r="E333" s="5">
        <v>45958</v>
      </c>
      <c r="F333" s="4" t="str">
        <f>IF(_xlfn.XLOOKUP(D333,[2]Recalc!A:A,[2]Recalc!A:A,"")=D333,"Approved","Denied")</f>
        <v>Denied</v>
      </c>
      <c r="G333" s="4" t="str">
        <f>IF(F333="Denied",_xlfn.XLOOKUP(D333,'[2]Denied Barcodes'!$A$2:$A$1048576,'[2]Denied Barcodes'!$B$2:$B$1048576,""),"")</f>
        <v>Denied, billed on customer dimensions</v>
      </c>
      <c r="H333" s="4" t="str">
        <f t="shared" si="5"/>
        <v/>
      </c>
      <c r="I333" s="6">
        <f>IF(F333="Approved",SUMIF([2]Recalc!A:A,D333,[2]Recalc!BX:BX),0)</f>
        <v>0</v>
      </c>
    </row>
    <row r="334" spans="1:9" x14ac:dyDescent="0.3">
      <c r="A334" s="5">
        <v>45949</v>
      </c>
      <c r="B334" s="4" t="s">
        <v>55</v>
      </c>
      <c r="C334" s="4"/>
      <c r="D334" s="4" t="s">
        <v>523</v>
      </c>
      <c r="E334" s="5">
        <v>45958</v>
      </c>
      <c r="F334" s="4" t="str">
        <f>IF(_xlfn.XLOOKUP(D334,[2]Recalc!A:A,[2]Recalc!A:A,"")=D334,"Approved","Denied")</f>
        <v>Denied</v>
      </c>
      <c r="G334" s="4" t="str">
        <f>IF(F334="Denied",_xlfn.XLOOKUP(D334,'[2]Denied Barcodes'!$A$2:$A$1048576,'[2]Denied Barcodes'!$B$2:$B$1048576,""),"")</f>
        <v>Denied, billed on customer dimensions</v>
      </c>
      <c r="H334" s="4" t="str">
        <f t="shared" si="5"/>
        <v/>
      </c>
      <c r="I334" s="6">
        <f>IF(F334="Approved",SUMIF([2]Recalc!A:A,D334,[2]Recalc!BX:BX),0)</f>
        <v>0</v>
      </c>
    </row>
    <row r="335" spans="1:9" x14ac:dyDescent="0.3">
      <c r="A335" s="5">
        <v>45949</v>
      </c>
      <c r="B335" s="4" t="s">
        <v>55</v>
      </c>
      <c r="C335" s="4"/>
      <c r="D335" s="4" t="s">
        <v>524</v>
      </c>
      <c r="E335" s="5">
        <v>45958</v>
      </c>
      <c r="F335" s="4" t="str">
        <f>IF(_xlfn.XLOOKUP(D335,[2]Recalc!A:A,[2]Recalc!A:A,"")=D335,"Approved","Denied")</f>
        <v>Denied</v>
      </c>
      <c r="G335" s="4" t="str">
        <f>IF(F335="Denied",_xlfn.XLOOKUP(D335,'[2]Denied Barcodes'!$A$2:$A$1048576,'[2]Denied Barcodes'!$B$2:$B$1048576,""),"")</f>
        <v>Denied, billed on customer dimensions</v>
      </c>
      <c r="H335" s="4" t="str">
        <f t="shared" si="5"/>
        <v/>
      </c>
      <c r="I335" s="6">
        <f>IF(F335="Approved",SUMIF([2]Recalc!A:A,D335,[2]Recalc!BX:BX),0)</f>
        <v>0</v>
      </c>
    </row>
    <row r="336" spans="1:9" x14ac:dyDescent="0.3">
      <c r="A336" s="5">
        <v>45949</v>
      </c>
      <c r="B336" s="4" t="s">
        <v>55</v>
      </c>
      <c r="C336" s="4"/>
      <c r="D336" s="4" t="s">
        <v>525</v>
      </c>
      <c r="E336" s="5">
        <v>45958</v>
      </c>
      <c r="F336" s="4" t="str">
        <f>IF(_xlfn.XLOOKUP(D336,[2]Recalc!A:A,[2]Recalc!A:A,"")=D336,"Approved","Denied")</f>
        <v>Denied</v>
      </c>
      <c r="G336" s="4" t="str">
        <f>IF(F336="Denied",_xlfn.XLOOKUP(D336,'[2]Denied Barcodes'!$A$2:$A$1048576,'[2]Denied Barcodes'!$B$2:$B$1048576,""),"")</f>
        <v>Recalc-Check vpod for LPS cust vs measured dims</v>
      </c>
      <c r="H336" s="4" t="str">
        <f t="shared" si="5"/>
        <v/>
      </c>
      <c r="I336" s="6">
        <f>IF(F336="Approved",SUMIF([2]Recalc!A:A,D336,[2]Recalc!BX:BX),0)</f>
        <v>0</v>
      </c>
    </row>
    <row r="337" spans="1:9" x14ac:dyDescent="0.3">
      <c r="A337" s="5">
        <v>45949</v>
      </c>
      <c r="B337" s="4" t="s">
        <v>55</v>
      </c>
      <c r="C337" s="4"/>
      <c r="D337" s="4" t="s">
        <v>526</v>
      </c>
      <c r="E337" s="5">
        <v>45958</v>
      </c>
      <c r="F337" s="4" t="str">
        <f>IF(_xlfn.XLOOKUP(D337,[2]Recalc!A:A,[2]Recalc!A:A,"")=D337,"Approved","Denied")</f>
        <v>Denied</v>
      </c>
      <c r="G337" s="4" t="str">
        <f>IF(F337="Denied",_xlfn.XLOOKUP(D337,'[2]Denied Barcodes'!$A$2:$A$1048576,'[2]Denied Barcodes'!$B$2:$B$1048576,""),"")</f>
        <v>Denied, billed on customer dimensions</v>
      </c>
      <c r="H337" s="4" t="str">
        <f t="shared" si="5"/>
        <v/>
      </c>
      <c r="I337" s="6">
        <f>IF(F337="Approved",SUMIF([2]Recalc!A:A,D337,[2]Recalc!BX:BX),0)</f>
        <v>0</v>
      </c>
    </row>
    <row r="338" spans="1:9" x14ac:dyDescent="0.3">
      <c r="A338" s="5">
        <v>45949</v>
      </c>
      <c r="B338" s="4" t="s">
        <v>55</v>
      </c>
      <c r="C338" s="4"/>
      <c r="D338" s="4" t="s">
        <v>527</v>
      </c>
      <c r="E338" s="5">
        <v>45958</v>
      </c>
      <c r="F338" s="4" t="str">
        <f>IF(_xlfn.XLOOKUP(D338,[2]Recalc!A:A,[2]Recalc!A:A,"")=D338,"Approved","Denied")</f>
        <v>Denied</v>
      </c>
      <c r="G338" s="4" t="str">
        <f>IF(F338="Denied",_xlfn.XLOOKUP(D338,'[2]Denied Barcodes'!$A$2:$A$1048576,'[2]Denied Barcodes'!$B$2:$B$1048576,""),"")</f>
        <v>Denied, billed on customer dimensions</v>
      </c>
      <c r="H338" s="4" t="str">
        <f t="shared" si="5"/>
        <v/>
      </c>
      <c r="I338" s="6">
        <f>IF(F338="Approved",SUMIF([2]Recalc!A:A,D338,[2]Recalc!BX:BX),0)</f>
        <v>0</v>
      </c>
    </row>
    <row r="339" spans="1:9" x14ac:dyDescent="0.3">
      <c r="A339" s="5">
        <v>45949</v>
      </c>
      <c r="B339" s="4" t="s">
        <v>55</v>
      </c>
      <c r="C339" s="4"/>
      <c r="D339" s="4" t="s">
        <v>528</v>
      </c>
      <c r="E339" s="5">
        <v>45958</v>
      </c>
      <c r="F339" s="4" t="str">
        <f>IF(_xlfn.XLOOKUP(D339,[2]Recalc!A:A,[2]Recalc!A:A,"")=D339,"Approved","Denied")</f>
        <v>Denied</v>
      </c>
      <c r="G339" s="4" t="str">
        <f>IF(F339="Denied",_xlfn.XLOOKUP(D339,'[2]Denied Barcodes'!$A$2:$A$1048576,'[2]Denied Barcodes'!$B$2:$B$1048576,""),"")</f>
        <v>Denied, billed on customer dimensions</v>
      </c>
      <c r="H339" s="4" t="str">
        <f t="shared" si="5"/>
        <v/>
      </c>
      <c r="I339" s="6">
        <f>IF(F339="Approved",SUMIF([2]Recalc!A:A,D339,[2]Recalc!BX:BX),0)</f>
        <v>0</v>
      </c>
    </row>
    <row r="340" spans="1:9" x14ac:dyDescent="0.3">
      <c r="A340" s="5">
        <v>45949</v>
      </c>
      <c r="B340" s="4" t="s">
        <v>55</v>
      </c>
      <c r="C340" s="4"/>
      <c r="D340" s="4" t="s">
        <v>529</v>
      </c>
      <c r="E340" s="5">
        <v>45958</v>
      </c>
      <c r="F340" s="4" t="str">
        <f>IF(_xlfn.XLOOKUP(D340,[2]Recalc!A:A,[2]Recalc!A:A,"")=D340,"Approved","Denied")</f>
        <v>Denied</v>
      </c>
      <c r="G340" s="4" t="str">
        <f>IF(F340="Denied",_xlfn.XLOOKUP(D340,'[2]Denied Barcodes'!$A$2:$A$1048576,'[2]Denied Barcodes'!$B$2:$B$1048576,""),"")</f>
        <v>Denied, billed on customer dimensions</v>
      </c>
      <c r="H340" s="4" t="str">
        <f t="shared" si="5"/>
        <v/>
      </c>
      <c r="I340" s="6">
        <f>IF(F340="Approved",SUMIF([2]Recalc!A:A,D340,[2]Recalc!BX:BX),0)</f>
        <v>0</v>
      </c>
    </row>
    <row r="341" spans="1:9" x14ac:dyDescent="0.3">
      <c r="A341" s="5">
        <v>45949</v>
      </c>
      <c r="B341" s="4" t="s">
        <v>55</v>
      </c>
      <c r="C341" s="4"/>
      <c r="D341" s="4" t="s">
        <v>530</v>
      </c>
      <c r="E341" s="5">
        <v>45958</v>
      </c>
      <c r="F341" s="4" t="str">
        <f>IF(_xlfn.XLOOKUP(D341,[2]Recalc!A:A,[2]Recalc!A:A,"")=D341,"Approved","Denied")</f>
        <v>Denied</v>
      </c>
      <c r="G341" s="4" t="str">
        <f>IF(F341="Denied",_xlfn.XLOOKUP(D341,'[2]Denied Barcodes'!$A$2:$A$1048576,'[2]Denied Barcodes'!$B$2:$B$1048576,""),"")</f>
        <v>Denied, billed on customer dimensions</v>
      </c>
      <c r="H341" s="4" t="str">
        <f t="shared" si="5"/>
        <v/>
      </c>
      <c r="I341" s="6">
        <f>IF(F341="Approved",SUMIF([2]Recalc!A:A,D341,[2]Recalc!BX:BX),0)</f>
        <v>0</v>
      </c>
    </row>
    <row r="342" spans="1:9" x14ac:dyDescent="0.3">
      <c r="A342" s="5">
        <v>45949</v>
      </c>
      <c r="B342" s="4" t="s">
        <v>55</v>
      </c>
      <c r="C342" s="4"/>
      <c r="D342" s="4" t="s">
        <v>531</v>
      </c>
      <c r="E342" s="5">
        <v>45958</v>
      </c>
      <c r="F342" s="4" t="str">
        <f>IF(_xlfn.XLOOKUP(D342,[2]Recalc!A:A,[2]Recalc!A:A,"")=D342,"Approved","Denied")</f>
        <v>Denied</v>
      </c>
      <c r="G342" s="4" t="str">
        <f>IF(F342="Denied",_xlfn.XLOOKUP(D342,'[2]Denied Barcodes'!$A$2:$A$1048576,'[2]Denied Barcodes'!$B$2:$B$1048576,""),"")</f>
        <v>Recalc-Check vpod for LPS cust vs measured dims</v>
      </c>
      <c r="H342" s="4" t="str">
        <f t="shared" si="5"/>
        <v/>
      </c>
      <c r="I342" s="6">
        <f>IF(F342="Approved",SUMIF([2]Recalc!A:A,D342,[2]Recalc!BX:BX),0)</f>
        <v>0</v>
      </c>
    </row>
    <row r="343" spans="1:9" x14ac:dyDescent="0.3">
      <c r="A343" s="5">
        <v>45949</v>
      </c>
      <c r="B343" s="4" t="s">
        <v>55</v>
      </c>
      <c r="C343" s="4"/>
      <c r="D343" s="4" t="s">
        <v>532</v>
      </c>
      <c r="E343" s="5">
        <v>45958</v>
      </c>
      <c r="F343" s="4" t="str">
        <f>IF(_xlfn.XLOOKUP(D343,[2]Recalc!A:A,[2]Recalc!A:A,"")=D343,"Approved","Denied")</f>
        <v>Denied</v>
      </c>
      <c r="G343" s="4" t="str">
        <f>IF(F343="Denied",_xlfn.XLOOKUP(D343,'[2]Denied Barcodes'!$A$2:$A$1048576,'[2]Denied Barcodes'!$B$2:$B$1048576,""),"")</f>
        <v>Recalc-Check vpod for LPS cust vs measured dims</v>
      </c>
      <c r="H343" s="4" t="str">
        <f t="shared" si="5"/>
        <v/>
      </c>
      <c r="I343" s="6">
        <f>IF(F343="Approved",SUMIF([2]Recalc!A:A,D343,[2]Recalc!BX:BX),0)</f>
        <v>0</v>
      </c>
    </row>
  </sheetData>
  <conditionalFormatting sqref="D1 D344:D1048576">
    <cfRule type="duplicateValues" dxfId="1" priority="2"/>
  </conditionalFormatting>
  <conditionalFormatting sqref="D1:D1048576">
    <cfRule type="duplicateValues" dxfId="0" priority="1"/>
  </conditionalFormatting>
  <dataValidations count="1">
    <dataValidation type="list" allowBlank="1" showInputMessage="1" showErrorMessage="1" sqref="B2:B343" xr:uid="{30E94971-166F-47E5-80D6-70DFC206BC74}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7B99BE425E9D4BA983119A9E9ED7AB" ma:contentTypeVersion="12" ma:contentTypeDescription="Create a new document." ma:contentTypeScope="" ma:versionID="320cddb61912fe70674301609b1f64a9">
  <xsd:schema xmlns:xsd="http://www.w3.org/2001/XMLSchema" xmlns:xs="http://www.w3.org/2001/XMLSchema" xmlns:p="http://schemas.microsoft.com/office/2006/metadata/properties" xmlns:ns2="68bb21d0-4809-45e1-af03-4c9226e6379b" xmlns:ns3="ef4bf0dd-26a4-4746-ba0d-44321d56f6fe" xmlns:ns4="1c7229d3-8acd-4eb1-a17e-9b103fd6b6cc" xmlns:ns5="e267a79e-e9a0-455c-bd3b-b7d1e581a444" targetNamespace="http://schemas.microsoft.com/office/2006/metadata/properties" ma:root="true" ma:fieldsID="c8c9e11c41b8516f704f590411098558" ns2:_="" ns3:_="" ns4:_="" ns5:_="">
    <xsd:import namespace="68bb21d0-4809-45e1-af03-4c9226e6379b"/>
    <xsd:import namespace="ef4bf0dd-26a4-4746-ba0d-44321d56f6fe"/>
    <xsd:import namespace="1c7229d3-8acd-4eb1-a17e-9b103fd6b6cc"/>
    <xsd:import namespace="e267a79e-e9a0-455c-bd3b-b7d1e581a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5:TaxCatchAll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Commsadded" minOccurs="0"/>
                <xsd:element ref="ns4:CustomerMapp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b21d0-4809-45e1-af03-4c9226e637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bf0dd-26a4-4746-ba0d-44321d56f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229d3-8acd-4eb1-a17e-9b103fd6b6cc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e1b5db2-47ec-4d6f-b858-a6a876aa25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sadded" ma:index="21" nillable="true" ma:displayName="Comms added" ma:default="1" ma:format="Dropdown" ma:internalName="Commsadded">
      <xsd:simpleType>
        <xsd:restriction base="dms:Boolean"/>
      </xsd:simpleType>
    </xsd:element>
    <xsd:element name="CustomerMapping" ma:index="22" nillable="true" ma:displayName="Customer Mapping" ma:default="1" ma:format="Dropdown" ma:internalName="CustomerMapping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7a79e-e9a0-455c-bd3b-b7d1e581a44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e365ff-9894-4496-897d-132fc0fa41d0}" ma:internalName="TaxCatchAll" ma:showField="CatchAllData" ma:web="e267a79e-e9a0-455c-bd3b-b7d1e581a4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stomerMapping xmlns="1c7229d3-8acd-4eb1-a17e-9b103fd6b6cc">true</CustomerMapping>
    <TaxCatchAll xmlns="e267a79e-e9a0-455c-bd3b-b7d1e581a444" xsi:nil="true"/>
    <Commsadded xmlns="1c7229d3-8acd-4eb1-a17e-9b103fd6b6cc">true</Commsadded>
    <lcf76f155ced4ddcb4097134ff3c332f xmlns="1c7229d3-8acd-4eb1-a17e-9b103fd6b6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9CE49D-0340-456B-BFA9-DBD0E843D0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325550-FBE1-4603-8676-643E711EC0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b21d0-4809-45e1-af03-4c9226e6379b"/>
    <ds:schemaRef ds:uri="ef4bf0dd-26a4-4746-ba0d-44321d56f6fe"/>
    <ds:schemaRef ds:uri="1c7229d3-8acd-4eb1-a17e-9b103fd6b6cc"/>
    <ds:schemaRef ds:uri="e267a79e-e9a0-455c-bd3b-b7d1e581a4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F9787D-F1F0-48F4-A16E-187B2F1626A1}">
  <ds:schemaRefs>
    <ds:schemaRef ds:uri="http://schemas.microsoft.com/office/2006/metadata/properties"/>
    <ds:schemaRef ds:uri="http://schemas.microsoft.com/office/infopath/2007/PartnerControls"/>
    <ds:schemaRef ds:uri="1c7229d3-8acd-4eb1-a17e-9b103fd6b6cc"/>
    <ds:schemaRef ds:uri="e267a79e-e9a0-455c-bd3b-b7d1e581a4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CM251121PICANOVA</vt:lpstr>
      <vt:lpstr>CM251118PICANOVA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Jeimmy Andrea Vargas Pineda</dc:creator>
  <cp:lastModifiedBy>Trang Nguyen</cp:lastModifiedBy>
  <dcterms:created xsi:type="dcterms:W3CDTF">2025-11-21T17:42:18Z</dcterms:created>
  <dcterms:modified xsi:type="dcterms:W3CDTF">2025-12-11T18:48:48Z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0x0101005C7B99BE425E9D4BA983119A9E9ED7AB</vt:lpwstr>
  </property>
</Properties>
</file>